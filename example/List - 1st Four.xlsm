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Results" sheetId="2" r:id="rId1"/>
    <sheet name="Contestant Scores" sheetId="4" state="hidden" r:id="rId2"/>
    <sheet name="Contestant Sample #1" sheetId="1" r:id="rId3"/>
    <sheet name="Contestant Sample #2" sheetId="3" r:id="rId4"/>
  </sheets>
  <calcPr calcId="145621"/>
</workbook>
</file>

<file path=xl/calcChain.xml><?xml version="1.0" encoding="utf-8"?>
<calcChain xmlns="http://schemas.openxmlformats.org/spreadsheetml/2006/main"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3" i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B80" i="3" l="1"/>
  <c r="B79" i="3"/>
  <c r="B78" i="3"/>
  <c r="B77" i="3"/>
  <c r="B76" i="3"/>
  <c r="B75" i="3"/>
  <c r="B74" i="3"/>
  <c r="E69" i="3"/>
  <c r="D69" i="3"/>
  <c r="E68" i="3"/>
  <c r="D68" i="3"/>
  <c r="E67" i="3"/>
  <c r="D67" i="3"/>
  <c r="E66" i="3"/>
  <c r="D66" i="3"/>
  <c r="E65" i="3"/>
  <c r="D65" i="3"/>
  <c r="E64" i="3"/>
  <c r="D64" i="3"/>
  <c r="E63" i="3"/>
  <c r="D63" i="3"/>
  <c r="E62" i="3"/>
  <c r="D62" i="3"/>
  <c r="E61" i="3"/>
  <c r="D61" i="3"/>
  <c r="E60" i="3"/>
  <c r="D60" i="3"/>
  <c r="E59" i="3"/>
  <c r="D59" i="3"/>
  <c r="E58" i="3"/>
  <c r="D58" i="3"/>
  <c r="E57" i="3"/>
  <c r="D57" i="3"/>
  <c r="E56" i="3"/>
  <c r="D56" i="3"/>
  <c r="E55" i="3"/>
  <c r="D55" i="3"/>
  <c r="E54" i="3"/>
  <c r="D54" i="3"/>
  <c r="E53" i="3"/>
  <c r="D53" i="3"/>
  <c r="E52" i="3"/>
  <c r="D52" i="3"/>
  <c r="E51" i="3"/>
  <c r="D51" i="3"/>
  <c r="E50" i="3"/>
  <c r="D50" i="3"/>
  <c r="E49" i="3"/>
  <c r="D49" i="3"/>
  <c r="E48" i="3"/>
  <c r="D48" i="3"/>
  <c r="E47" i="3"/>
  <c r="D47" i="3"/>
  <c r="E46" i="3"/>
  <c r="D46" i="3"/>
  <c r="E45" i="3"/>
  <c r="D45" i="3"/>
  <c r="E44" i="3"/>
  <c r="D44" i="3"/>
  <c r="E43" i="3"/>
  <c r="D43" i="3"/>
  <c r="E42" i="3"/>
  <c r="D42" i="3"/>
  <c r="E41" i="3"/>
  <c r="D41" i="3"/>
  <c r="E40" i="3"/>
  <c r="D40" i="3"/>
  <c r="E39" i="3"/>
  <c r="D39" i="3"/>
  <c r="E38" i="3"/>
  <c r="D38" i="3"/>
  <c r="E37" i="3"/>
  <c r="D37" i="3"/>
  <c r="E36" i="3"/>
  <c r="D36" i="3"/>
  <c r="E35" i="3"/>
  <c r="D35" i="3"/>
  <c r="E34" i="3"/>
  <c r="D34" i="3"/>
  <c r="E33" i="3"/>
  <c r="D33" i="3"/>
  <c r="E32" i="3"/>
  <c r="D32" i="3"/>
  <c r="E31" i="3"/>
  <c r="D31" i="3"/>
  <c r="E30" i="3"/>
  <c r="D30" i="3"/>
  <c r="E29" i="3"/>
  <c r="D29" i="3"/>
  <c r="E28" i="3"/>
  <c r="D28" i="3"/>
  <c r="E27" i="3"/>
  <c r="D27" i="3"/>
  <c r="E26" i="3"/>
  <c r="D26" i="3"/>
  <c r="E25" i="3"/>
  <c r="D25" i="3"/>
  <c r="E24" i="3"/>
  <c r="D24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4" i="3"/>
  <c r="D4" i="3"/>
  <c r="E3" i="3"/>
  <c r="D3" i="3"/>
  <c r="E2" i="3"/>
  <c r="D2" i="3"/>
  <c r="G3" i="2"/>
  <c r="G4" i="2"/>
  <c r="G5" i="2"/>
  <c r="D5" i="1" s="1"/>
  <c r="G6" i="2"/>
  <c r="G7" i="2"/>
  <c r="G8" i="2"/>
  <c r="D8" i="1" s="1"/>
  <c r="G9" i="2"/>
  <c r="D9" i="1" s="1"/>
  <c r="G10" i="2"/>
  <c r="G11" i="2"/>
  <c r="G12" i="2"/>
  <c r="D12" i="1" s="1"/>
  <c r="G13" i="2"/>
  <c r="D13" i="1" s="1"/>
  <c r="G14" i="2"/>
  <c r="G15" i="2"/>
  <c r="G16" i="2"/>
  <c r="D16" i="1" s="1"/>
  <c r="G17" i="2"/>
  <c r="D17" i="1" s="1"/>
  <c r="G18" i="2"/>
  <c r="G19" i="2"/>
  <c r="G20" i="2"/>
  <c r="D20" i="1" s="1"/>
  <c r="G21" i="2"/>
  <c r="D21" i="1" s="1"/>
  <c r="G22" i="2"/>
  <c r="G23" i="2"/>
  <c r="G24" i="2"/>
  <c r="G25" i="2"/>
  <c r="D25" i="1" s="1"/>
  <c r="G26" i="2"/>
  <c r="G27" i="2"/>
  <c r="G28" i="2"/>
  <c r="G29" i="2"/>
  <c r="D29" i="1" s="1"/>
  <c r="G30" i="2"/>
  <c r="G31" i="2"/>
  <c r="G32" i="2"/>
  <c r="D32" i="1" s="1"/>
  <c r="G33" i="2"/>
  <c r="D33" i="1" s="1"/>
  <c r="G34" i="2"/>
  <c r="G35" i="2"/>
  <c r="G36" i="2"/>
  <c r="D36" i="1" s="1"/>
  <c r="G37" i="2"/>
  <c r="D37" i="1" s="1"/>
  <c r="G38" i="2"/>
  <c r="G39" i="2"/>
  <c r="G40" i="2"/>
  <c r="G41" i="2"/>
  <c r="D41" i="1" s="1"/>
  <c r="G42" i="2"/>
  <c r="G43" i="2"/>
  <c r="G44" i="2"/>
  <c r="G45" i="2"/>
  <c r="D45" i="1" s="1"/>
  <c r="G46" i="2"/>
  <c r="G47" i="2"/>
  <c r="G48" i="2"/>
  <c r="D48" i="1" s="1"/>
  <c r="G49" i="2"/>
  <c r="D49" i="1" s="1"/>
  <c r="G50" i="2"/>
  <c r="G51" i="2"/>
  <c r="G52" i="2"/>
  <c r="D52" i="1" s="1"/>
  <c r="G53" i="2"/>
  <c r="D53" i="1" s="1"/>
  <c r="G54" i="2"/>
  <c r="G55" i="2"/>
  <c r="G56" i="2"/>
  <c r="G57" i="2"/>
  <c r="D58" i="1" s="1"/>
  <c r="G58" i="2"/>
  <c r="G59" i="2"/>
  <c r="G60" i="2"/>
  <c r="D60" i="1" s="1"/>
  <c r="G61" i="2"/>
  <c r="D61" i="1" s="1"/>
  <c r="G62" i="2"/>
  <c r="G63" i="2"/>
  <c r="G64" i="2"/>
  <c r="D64" i="1" s="1"/>
  <c r="G65" i="2"/>
  <c r="D65" i="1" s="1"/>
  <c r="G66" i="2"/>
  <c r="G67" i="2"/>
  <c r="G68" i="2"/>
  <c r="D68" i="1" s="1"/>
  <c r="G69" i="2"/>
  <c r="D69" i="1" s="1"/>
  <c r="D6" i="1"/>
  <c r="D10" i="1"/>
  <c r="D14" i="1"/>
  <c r="G2" i="2"/>
  <c r="D2" i="1" s="1"/>
  <c r="D4" i="1"/>
  <c r="D3" i="1"/>
  <c r="D7" i="1"/>
  <c r="D11" i="1"/>
  <c r="D15" i="1"/>
  <c r="D57" i="1"/>
  <c r="D67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3" i="1"/>
  <c r="E4" i="1"/>
  <c r="E5" i="1"/>
  <c r="E6" i="1"/>
  <c r="E7" i="1"/>
  <c r="E8" i="1"/>
  <c r="E9" i="1"/>
  <c r="E10" i="1"/>
  <c r="E11" i="1"/>
  <c r="E12" i="1"/>
  <c r="E13" i="1"/>
  <c r="E14" i="1"/>
  <c r="E2" i="1"/>
  <c r="L2" i="1" s="1"/>
  <c r="D18" i="1"/>
  <c r="D19" i="1"/>
  <c r="D22" i="1"/>
  <c r="D23" i="1"/>
  <c r="D24" i="1"/>
  <c r="D26" i="1"/>
  <c r="D27" i="1"/>
  <c r="D28" i="1"/>
  <c r="D30" i="1"/>
  <c r="D31" i="1"/>
  <c r="D34" i="1"/>
  <c r="D35" i="1"/>
  <c r="D38" i="1"/>
  <c r="D39" i="1"/>
  <c r="D40" i="1"/>
  <c r="D42" i="1"/>
  <c r="D43" i="1"/>
  <c r="D44" i="1"/>
  <c r="D46" i="1"/>
  <c r="D47" i="1"/>
  <c r="D50" i="1"/>
  <c r="D51" i="1"/>
  <c r="D54" i="1"/>
  <c r="D55" i="1"/>
  <c r="D56" i="1"/>
  <c r="D59" i="1"/>
  <c r="D62" i="1"/>
  <c r="D63" i="1"/>
  <c r="D66" i="1"/>
  <c r="H5" i="3" l="1"/>
  <c r="L5" i="3"/>
  <c r="I5" i="3"/>
  <c r="J5" i="3"/>
  <c r="K5" i="3"/>
  <c r="F5" i="3"/>
  <c r="G5" i="3"/>
  <c r="F7" i="3"/>
  <c r="J7" i="3"/>
  <c r="G7" i="3"/>
  <c r="K7" i="3"/>
  <c r="L7" i="3"/>
  <c r="H7" i="3"/>
  <c r="I7" i="3"/>
  <c r="F11" i="3"/>
  <c r="J11" i="3"/>
  <c r="G11" i="3"/>
  <c r="K11" i="3"/>
  <c r="H11" i="3"/>
  <c r="I11" i="3"/>
  <c r="L11" i="3"/>
  <c r="F15" i="3"/>
  <c r="J15" i="3"/>
  <c r="G15" i="3"/>
  <c r="K15" i="3"/>
  <c r="L15" i="3"/>
  <c r="H15" i="3"/>
  <c r="I15" i="3"/>
  <c r="F19" i="3"/>
  <c r="J19" i="3"/>
  <c r="G19" i="3"/>
  <c r="K19" i="3"/>
  <c r="H19" i="3"/>
  <c r="I19" i="3"/>
  <c r="L19" i="3"/>
  <c r="F23" i="3"/>
  <c r="J23" i="3"/>
  <c r="G23" i="3"/>
  <c r="K23" i="3"/>
  <c r="L23" i="3"/>
  <c r="H23" i="3"/>
  <c r="I23" i="3"/>
  <c r="F27" i="3"/>
  <c r="J27" i="3"/>
  <c r="G27" i="3"/>
  <c r="K27" i="3"/>
  <c r="H27" i="3"/>
  <c r="I27" i="3"/>
  <c r="L27" i="3"/>
  <c r="F31" i="3"/>
  <c r="J31" i="3"/>
  <c r="G31" i="3"/>
  <c r="K31" i="3"/>
  <c r="L31" i="3"/>
  <c r="H31" i="3"/>
  <c r="I31" i="3"/>
  <c r="G35" i="3"/>
  <c r="K35" i="3"/>
  <c r="F35" i="3"/>
  <c r="L35" i="3"/>
  <c r="H35" i="3"/>
  <c r="I35" i="3"/>
  <c r="J35" i="3"/>
  <c r="I37" i="3"/>
  <c r="H37" i="3"/>
  <c r="J37" i="3"/>
  <c r="F37" i="3"/>
  <c r="K37" i="3"/>
  <c r="G37" i="3"/>
  <c r="L37" i="3"/>
  <c r="I41" i="3"/>
  <c r="G41" i="3"/>
  <c r="L41" i="3"/>
  <c r="H41" i="3"/>
  <c r="J41" i="3"/>
  <c r="K41" i="3"/>
  <c r="F41" i="3"/>
  <c r="I45" i="3"/>
  <c r="F45" i="3"/>
  <c r="K45" i="3"/>
  <c r="G45" i="3"/>
  <c r="L45" i="3"/>
  <c r="H45" i="3"/>
  <c r="J45" i="3"/>
  <c r="I49" i="3"/>
  <c r="J49" i="3"/>
  <c r="F49" i="3"/>
  <c r="K49" i="3"/>
  <c r="L49" i="3"/>
  <c r="G49" i="3"/>
  <c r="H49" i="3"/>
  <c r="I53" i="3"/>
  <c r="F53" i="3"/>
  <c r="J53" i="3"/>
  <c r="K53" i="3"/>
  <c r="L53" i="3"/>
  <c r="G53" i="3"/>
  <c r="H53" i="3"/>
  <c r="I57" i="3"/>
  <c r="F57" i="3"/>
  <c r="J57" i="3"/>
  <c r="G57" i="3"/>
  <c r="H57" i="3"/>
  <c r="K57" i="3"/>
  <c r="L57" i="3"/>
  <c r="I61" i="3"/>
  <c r="F61" i="3"/>
  <c r="J61" i="3"/>
  <c r="K61" i="3"/>
  <c r="H61" i="3"/>
  <c r="L61" i="3"/>
  <c r="G61" i="3"/>
  <c r="I65" i="3"/>
  <c r="F65" i="3"/>
  <c r="J65" i="3"/>
  <c r="G65" i="3"/>
  <c r="H65" i="3"/>
  <c r="K65" i="3"/>
  <c r="L65" i="3"/>
  <c r="G67" i="3"/>
  <c r="K67" i="3"/>
  <c r="H67" i="3"/>
  <c r="L67" i="3"/>
  <c r="I67" i="3"/>
  <c r="F67" i="3"/>
  <c r="J67" i="3"/>
  <c r="I6" i="3"/>
  <c r="F6" i="3"/>
  <c r="J6" i="3"/>
  <c r="K6" i="3"/>
  <c r="L6" i="3"/>
  <c r="G6" i="3"/>
  <c r="H6" i="3"/>
  <c r="I10" i="3"/>
  <c r="F10" i="3"/>
  <c r="J10" i="3"/>
  <c r="G10" i="3"/>
  <c r="H10" i="3"/>
  <c r="K10" i="3"/>
  <c r="L10" i="3"/>
  <c r="I14" i="3"/>
  <c r="F14" i="3"/>
  <c r="J14" i="3"/>
  <c r="K14" i="3"/>
  <c r="L14" i="3"/>
  <c r="G14" i="3"/>
  <c r="H14" i="3"/>
  <c r="I18" i="3"/>
  <c r="F18" i="3"/>
  <c r="J18" i="3"/>
  <c r="G18" i="3"/>
  <c r="H18" i="3"/>
  <c r="K18" i="3"/>
  <c r="L18" i="3"/>
  <c r="I22" i="3"/>
  <c r="F22" i="3"/>
  <c r="J22" i="3"/>
  <c r="K22" i="3"/>
  <c r="L22" i="3"/>
  <c r="G22" i="3"/>
  <c r="H22" i="3"/>
  <c r="I26" i="3"/>
  <c r="F26" i="3"/>
  <c r="J26" i="3"/>
  <c r="G26" i="3"/>
  <c r="H26" i="3"/>
  <c r="K26" i="3"/>
  <c r="L26" i="3"/>
  <c r="G28" i="3"/>
  <c r="K28" i="3"/>
  <c r="H28" i="3"/>
  <c r="L28" i="3"/>
  <c r="I28" i="3"/>
  <c r="J28" i="3"/>
  <c r="F28" i="3"/>
  <c r="G32" i="3"/>
  <c r="K32" i="3"/>
  <c r="H32" i="3"/>
  <c r="L32" i="3"/>
  <c r="F32" i="3"/>
  <c r="I32" i="3"/>
  <c r="J32" i="3"/>
  <c r="I34" i="3"/>
  <c r="F34" i="3"/>
  <c r="J34" i="3"/>
  <c r="G34" i="3"/>
  <c r="H34" i="3"/>
  <c r="K34" i="3"/>
  <c r="L34" i="3"/>
  <c r="H36" i="3"/>
  <c r="L36" i="3"/>
  <c r="J36" i="3"/>
  <c r="F36" i="3"/>
  <c r="K36" i="3"/>
  <c r="G36" i="3"/>
  <c r="I36" i="3"/>
  <c r="F38" i="3"/>
  <c r="J38" i="3"/>
  <c r="G38" i="3"/>
  <c r="L38" i="3"/>
  <c r="H38" i="3"/>
  <c r="I38" i="3"/>
  <c r="K38" i="3"/>
  <c r="H40" i="3"/>
  <c r="L40" i="3"/>
  <c r="I40" i="3"/>
  <c r="J40" i="3"/>
  <c r="F40" i="3"/>
  <c r="K40" i="3"/>
  <c r="G40" i="3"/>
  <c r="F42" i="3"/>
  <c r="J42" i="3"/>
  <c r="K42" i="3"/>
  <c r="G42" i="3"/>
  <c r="L42" i="3"/>
  <c r="H42" i="3"/>
  <c r="I42" i="3"/>
  <c r="H44" i="3"/>
  <c r="L44" i="3"/>
  <c r="G44" i="3"/>
  <c r="J44" i="3"/>
  <c r="I44" i="3"/>
  <c r="K44" i="3"/>
  <c r="F44" i="3"/>
  <c r="F46" i="3"/>
  <c r="J46" i="3"/>
  <c r="I46" i="3"/>
  <c r="K46" i="3"/>
  <c r="L46" i="3"/>
  <c r="G46" i="3"/>
  <c r="H46" i="3"/>
  <c r="H48" i="3"/>
  <c r="L48" i="3"/>
  <c r="F48" i="3"/>
  <c r="K48" i="3"/>
  <c r="G48" i="3"/>
  <c r="I48" i="3"/>
  <c r="J48" i="3"/>
  <c r="F50" i="3"/>
  <c r="J50" i="3"/>
  <c r="H50" i="3"/>
  <c r="I50" i="3"/>
  <c r="G50" i="3"/>
  <c r="K50" i="3"/>
  <c r="L50" i="3"/>
  <c r="H52" i="3"/>
  <c r="L52" i="3"/>
  <c r="I52" i="3"/>
  <c r="J52" i="3"/>
  <c r="G52" i="3"/>
  <c r="K52" i="3"/>
  <c r="F52" i="3"/>
  <c r="F54" i="3"/>
  <c r="J54" i="3"/>
  <c r="G54" i="3"/>
  <c r="K54" i="3"/>
  <c r="L54" i="3"/>
  <c r="I54" i="3"/>
  <c r="H54" i="3"/>
  <c r="H56" i="3"/>
  <c r="L56" i="3"/>
  <c r="I56" i="3"/>
  <c r="F56" i="3"/>
  <c r="K56" i="3"/>
  <c r="G56" i="3"/>
  <c r="J56" i="3"/>
  <c r="F58" i="3"/>
  <c r="J58" i="3"/>
  <c r="G58" i="3"/>
  <c r="K58" i="3"/>
  <c r="H58" i="3"/>
  <c r="I58" i="3"/>
  <c r="L58" i="3"/>
  <c r="H60" i="3"/>
  <c r="L60" i="3"/>
  <c r="I60" i="3"/>
  <c r="J60" i="3"/>
  <c r="K60" i="3"/>
  <c r="F60" i="3"/>
  <c r="G60" i="3"/>
  <c r="F62" i="3"/>
  <c r="J62" i="3"/>
  <c r="G62" i="3"/>
  <c r="K62" i="3"/>
  <c r="L62" i="3"/>
  <c r="I62" i="3"/>
  <c r="H62" i="3"/>
  <c r="H64" i="3"/>
  <c r="L64" i="3"/>
  <c r="I64" i="3"/>
  <c r="F64" i="3"/>
  <c r="K64" i="3"/>
  <c r="G64" i="3"/>
  <c r="J64" i="3"/>
  <c r="F66" i="3"/>
  <c r="J66" i="3"/>
  <c r="G66" i="3"/>
  <c r="K66" i="3"/>
  <c r="H66" i="3"/>
  <c r="I66" i="3"/>
  <c r="L66" i="3"/>
  <c r="H68" i="3"/>
  <c r="L68" i="3"/>
  <c r="I68" i="3"/>
  <c r="J68" i="3"/>
  <c r="K68" i="3"/>
  <c r="F68" i="3"/>
  <c r="G68" i="3"/>
  <c r="F3" i="3"/>
  <c r="J3" i="3"/>
  <c r="G3" i="3"/>
  <c r="K3" i="3"/>
  <c r="H3" i="3"/>
  <c r="I3" i="3"/>
  <c r="L3" i="3"/>
  <c r="H9" i="3"/>
  <c r="L9" i="3"/>
  <c r="I9" i="3"/>
  <c r="F9" i="3"/>
  <c r="G9" i="3"/>
  <c r="J9" i="3"/>
  <c r="K9" i="3"/>
  <c r="H13" i="3"/>
  <c r="L13" i="3"/>
  <c r="I13" i="3"/>
  <c r="J13" i="3"/>
  <c r="K13" i="3"/>
  <c r="F13" i="3"/>
  <c r="G13" i="3"/>
  <c r="H17" i="3"/>
  <c r="L17" i="3"/>
  <c r="I17" i="3"/>
  <c r="F17" i="3"/>
  <c r="G17" i="3"/>
  <c r="J17" i="3"/>
  <c r="K17" i="3"/>
  <c r="H21" i="3"/>
  <c r="L21" i="3"/>
  <c r="I21" i="3"/>
  <c r="J21" i="3"/>
  <c r="K21" i="3"/>
  <c r="F21" i="3"/>
  <c r="G21" i="3"/>
  <c r="H25" i="3"/>
  <c r="L25" i="3"/>
  <c r="I25" i="3"/>
  <c r="F25" i="3"/>
  <c r="G25" i="3"/>
  <c r="J25" i="3"/>
  <c r="K25" i="3"/>
  <c r="H29" i="3"/>
  <c r="L29" i="3"/>
  <c r="I29" i="3"/>
  <c r="J29" i="3"/>
  <c r="K29" i="3"/>
  <c r="F29" i="3"/>
  <c r="G29" i="3"/>
  <c r="H33" i="3"/>
  <c r="L33" i="3"/>
  <c r="I33" i="3"/>
  <c r="F33" i="3"/>
  <c r="G33" i="3"/>
  <c r="J33" i="3"/>
  <c r="K33" i="3"/>
  <c r="G39" i="3"/>
  <c r="K39" i="3"/>
  <c r="J39" i="3"/>
  <c r="H39" i="3"/>
  <c r="F39" i="3"/>
  <c r="L39" i="3"/>
  <c r="I39" i="3"/>
  <c r="G43" i="3"/>
  <c r="K43" i="3"/>
  <c r="I43" i="3"/>
  <c r="F43" i="3"/>
  <c r="J43" i="3"/>
  <c r="L43" i="3"/>
  <c r="H43" i="3"/>
  <c r="G47" i="3"/>
  <c r="K47" i="3"/>
  <c r="H47" i="3"/>
  <c r="I47" i="3"/>
  <c r="L47" i="3"/>
  <c r="F47" i="3"/>
  <c r="J47" i="3"/>
  <c r="G51" i="3"/>
  <c r="F51" i="3"/>
  <c r="K51" i="3"/>
  <c r="H51" i="3"/>
  <c r="L51" i="3"/>
  <c r="I51" i="3"/>
  <c r="J51" i="3"/>
  <c r="G55" i="3"/>
  <c r="K55" i="3"/>
  <c r="H55" i="3"/>
  <c r="L55" i="3"/>
  <c r="F55" i="3"/>
  <c r="I55" i="3"/>
  <c r="J55" i="3"/>
  <c r="G59" i="3"/>
  <c r="K59" i="3"/>
  <c r="H59" i="3"/>
  <c r="L59" i="3"/>
  <c r="I59" i="3"/>
  <c r="F59" i="3"/>
  <c r="J59" i="3"/>
  <c r="G63" i="3"/>
  <c r="K63" i="3"/>
  <c r="H63" i="3"/>
  <c r="L63" i="3"/>
  <c r="F63" i="3"/>
  <c r="I63" i="3"/>
  <c r="J63" i="3"/>
  <c r="I69" i="3"/>
  <c r="F69" i="3"/>
  <c r="J69" i="3"/>
  <c r="K69" i="3"/>
  <c r="H69" i="3"/>
  <c r="L69" i="3"/>
  <c r="G69" i="3"/>
  <c r="G4" i="3"/>
  <c r="K4" i="3"/>
  <c r="H4" i="3"/>
  <c r="L4" i="3"/>
  <c r="I4" i="3"/>
  <c r="J4" i="3"/>
  <c r="F4" i="3"/>
  <c r="G8" i="3"/>
  <c r="K8" i="3"/>
  <c r="H8" i="3"/>
  <c r="L8" i="3"/>
  <c r="F8" i="3"/>
  <c r="I8" i="3"/>
  <c r="J8" i="3"/>
  <c r="G12" i="3"/>
  <c r="K12" i="3"/>
  <c r="H12" i="3"/>
  <c r="L12" i="3"/>
  <c r="I12" i="3"/>
  <c r="J12" i="3"/>
  <c r="F12" i="3"/>
  <c r="G16" i="3"/>
  <c r="K16" i="3"/>
  <c r="H16" i="3"/>
  <c r="L16" i="3"/>
  <c r="F16" i="3"/>
  <c r="I16" i="3"/>
  <c r="J16" i="3"/>
  <c r="G20" i="3"/>
  <c r="K20" i="3"/>
  <c r="H20" i="3"/>
  <c r="L20" i="3"/>
  <c r="I20" i="3"/>
  <c r="J20" i="3"/>
  <c r="F20" i="3"/>
  <c r="G24" i="3"/>
  <c r="K24" i="3"/>
  <c r="H24" i="3"/>
  <c r="L24" i="3"/>
  <c r="F24" i="3"/>
  <c r="I24" i="3"/>
  <c r="J24" i="3"/>
  <c r="I30" i="3"/>
  <c r="F30" i="3"/>
  <c r="J30" i="3"/>
  <c r="K30" i="3"/>
  <c r="L30" i="3"/>
  <c r="G30" i="3"/>
  <c r="H30" i="3"/>
  <c r="K2" i="3"/>
  <c r="L2" i="3"/>
  <c r="I2" i="3"/>
  <c r="J2" i="3"/>
  <c r="G2" i="3"/>
  <c r="H2" i="3"/>
  <c r="F2" i="3"/>
  <c r="F14" i="1"/>
  <c r="J14" i="1"/>
  <c r="I14" i="1"/>
  <c r="K14" i="1"/>
  <c r="G14" i="1"/>
  <c r="L14" i="1"/>
  <c r="H14" i="1"/>
  <c r="F69" i="1"/>
  <c r="J69" i="1"/>
  <c r="I69" i="1"/>
  <c r="K69" i="1"/>
  <c r="G69" i="1"/>
  <c r="L69" i="1"/>
  <c r="H69" i="1"/>
  <c r="I61" i="1"/>
  <c r="F61" i="1"/>
  <c r="J61" i="1"/>
  <c r="G61" i="1"/>
  <c r="L61" i="1"/>
  <c r="H61" i="1"/>
  <c r="K61" i="1"/>
  <c r="I53" i="1"/>
  <c r="F53" i="1"/>
  <c r="J53" i="1"/>
  <c r="G53" i="1"/>
  <c r="L53" i="1"/>
  <c r="H53" i="1"/>
  <c r="K53" i="1"/>
  <c r="I45" i="1"/>
  <c r="F45" i="1"/>
  <c r="K45" i="1"/>
  <c r="G45" i="1"/>
  <c r="L45" i="1"/>
  <c r="H45" i="1"/>
  <c r="J45" i="1"/>
  <c r="I37" i="1"/>
  <c r="H37" i="1"/>
  <c r="J37" i="1"/>
  <c r="F37" i="1"/>
  <c r="L37" i="1"/>
  <c r="G37" i="1"/>
  <c r="K37" i="1"/>
  <c r="I29" i="1"/>
  <c r="F29" i="1"/>
  <c r="K29" i="1"/>
  <c r="G29" i="1"/>
  <c r="L29" i="1"/>
  <c r="H29" i="1"/>
  <c r="J29" i="1"/>
  <c r="I21" i="1"/>
  <c r="H21" i="1"/>
  <c r="J21" i="1"/>
  <c r="F21" i="1"/>
  <c r="K21" i="1"/>
  <c r="L21" i="1"/>
  <c r="G21" i="1"/>
  <c r="I13" i="1"/>
  <c r="F13" i="1"/>
  <c r="K13" i="1"/>
  <c r="G13" i="1"/>
  <c r="L13" i="1"/>
  <c r="H13" i="1"/>
  <c r="J13" i="1"/>
  <c r="I9" i="1"/>
  <c r="G9" i="1"/>
  <c r="L9" i="1"/>
  <c r="H9" i="1"/>
  <c r="J9" i="1"/>
  <c r="K9" i="1"/>
  <c r="F9" i="1"/>
  <c r="I5" i="1"/>
  <c r="H5" i="1"/>
  <c r="J5" i="1"/>
  <c r="F5" i="1"/>
  <c r="K5" i="1"/>
  <c r="G5" i="1"/>
  <c r="L5" i="1"/>
  <c r="I64" i="1"/>
  <c r="G64" i="1"/>
  <c r="L64" i="1"/>
  <c r="F64" i="1"/>
  <c r="K64" i="1"/>
  <c r="H64" i="1"/>
  <c r="J64" i="1"/>
  <c r="H56" i="1"/>
  <c r="L56" i="1"/>
  <c r="I56" i="1"/>
  <c r="J56" i="1"/>
  <c r="G56" i="1"/>
  <c r="K56" i="1"/>
  <c r="F56" i="1"/>
  <c r="H48" i="1"/>
  <c r="L48" i="1"/>
  <c r="F48" i="1"/>
  <c r="K48" i="1"/>
  <c r="G48" i="1"/>
  <c r="I48" i="1"/>
  <c r="J48" i="1"/>
  <c r="H40" i="1"/>
  <c r="L40" i="1"/>
  <c r="I40" i="1"/>
  <c r="J40" i="1"/>
  <c r="F40" i="1"/>
  <c r="G40" i="1"/>
  <c r="K40" i="1"/>
  <c r="H32" i="1"/>
  <c r="L32" i="1"/>
  <c r="F32" i="1"/>
  <c r="K32" i="1"/>
  <c r="G32" i="1"/>
  <c r="I32" i="1"/>
  <c r="J32" i="1"/>
  <c r="H24" i="1"/>
  <c r="L24" i="1"/>
  <c r="I24" i="1"/>
  <c r="J24" i="1"/>
  <c r="K24" i="1"/>
  <c r="F24" i="1"/>
  <c r="G24" i="1"/>
  <c r="H16" i="1"/>
  <c r="L16" i="1"/>
  <c r="F16" i="1"/>
  <c r="K16" i="1"/>
  <c r="G16" i="1"/>
  <c r="I16" i="1"/>
  <c r="J16" i="1"/>
  <c r="H12" i="1"/>
  <c r="L12" i="1"/>
  <c r="G12" i="1"/>
  <c r="I12" i="1"/>
  <c r="J12" i="1"/>
  <c r="K12" i="1"/>
  <c r="F12" i="1"/>
  <c r="H67" i="1"/>
  <c r="L67" i="1"/>
  <c r="G67" i="1"/>
  <c r="F67" i="1"/>
  <c r="I67" i="1"/>
  <c r="J67" i="1"/>
  <c r="K67" i="1"/>
  <c r="G59" i="1"/>
  <c r="K59" i="1"/>
  <c r="H59" i="1"/>
  <c r="L59" i="1"/>
  <c r="F59" i="1"/>
  <c r="I59" i="1"/>
  <c r="J59" i="1"/>
  <c r="G51" i="1"/>
  <c r="F51" i="1"/>
  <c r="K51" i="1"/>
  <c r="H51" i="1"/>
  <c r="L51" i="1"/>
  <c r="J51" i="1"/>
  <c r="I51" i="1"/>
  <c r="G43" i="1"/>
  <c r="K43" i="1"/>
  <c r="I43" i="1"/>
  <c r="J43" i="1"/>
  <c r="F43" i="1"/>
  <c r="H43" i="1"/>
  <c r="L43" i="1"/>
  <c r="G35" i="1"/>
  <c r="K35" i="1"/>
  <c r="F35" i="1"/>
  <c r="L35" i="1"/>
  <c r="H35" i="1"/>
  <c r="I35" i="1"/>
  <c r="J35" i="1"/>
  <c r="G27" i="1"/>
  <c r="K27" i="1"/>
  <c r="I27" i="1"/>
  <c r="J27" i="1"/>
  <c r="L27" i="1"/>
  <c r="H27" i="1"/>
  <c r="F27" i="1"/>
  <c r="G19" i="1"/>
  <c r="K19" i="1"/>
  <c r="F19" i="1"/>
  <c r="L19" i="1"/>
  <c r="H19" i="1"/>
  <c r="I19" i="1"/>
  <c r="J19" i="1"/>
  <c r="F10" i="1"/>
  <c r="J10" i="1"/>
  <c r="K10" i="1"/>
  <c r="G10" i="1"/>
  <c r="L10" i="1"/>
  <c r="H10" i="1"/>
  <c r="I10" i="1"/>
  <c r="F6" i="1"/>
  <c r="J6" i="1"/>
  <c r="G6" i="1"/>
  <c r="L6" i="1"/>
  <c r="H6" i="1"/>
  <c r="I6" i="1"/>
  <c r="K6" i="1"/>
  <c r="F65" i="1"/>
  <c r="J65" i="1"/>
  <c r="K65" i="1"/>
  <c r="G65" i="1"/>
  <c r="L65" i="1"/>
  <c r="H65" i="1"/>
  <c r="I65" i="1"/>
  <c r="I57" i="1"/>
  <c r="F57" i="1"/>
  <c r="J57" i="1"/>
  <c r="K57" i="1"/>
  <c r="L57" i="1"/>
  <c r="G57" i="1"/>
  <c r="H57" i="1"/>
  <c r="I49" i="1"/>
  <c r="J49" i="1"/>
  <c r="F49" i="1"/>
  <c r="K49" i="1"/>
  <c r="G49" i="1"/>
  <c r="H49" i="1"/>
  <c r="L49" i="1"/>
  <c r="I41" i="1"/>
  <c r="G41" i="1"/>
  <c r="L41" i="1"/>
  <c r="H41" i="1"/>
  <c r="J41" i="1"/>
  <c r="F41" i="1"/>
  <c r="K41" i="1"/>
  <c r="I33" i="1"/>
  <c r="J33" i="1"/>
  <c r="F33" i="1"/>
  <c r="K33" i="1"/>
  <c r="L33" i="1"/>
  <c r="G33" i="1"/>
  <c r="H33" i="1"/>
  <c r="I25" i="1"/>
  <c r="G25" i="1"/>
  <c r="L25" i="1"/>
  <c r="H25" i="1"/>
  <c r="F25" i="1"/>
  <c r="J25" i="1"/>
  <c r="K25" i="1"/>
  <c r="I17" i="1"/>
  <c r="J17" i="1"/>
  <c r="F17" i="1"/>
  <c r="K17" i="1"/>
  <c r="G17" i="1"/>
  <c r="L17" i="1"/>
  <c r="H17" i="1"/>
  <c r="I68" i="1"/>
  <c r="F68" i="1"/>
  <c r="K68" i="1"/>
  <c r="J68" i="1"/>
  <c r="G68" i="1"/>
  <c r="L68" i="1"/>
  <c r="H68" i="1"/>
  <c r="H60" i="1"/>
  <c r="L60" i="1"/>
  <c r="I60" i="1"/>
  <c r="F60" i="1"/>
  <c r="K60" i="1"/>
  <c r="G60" i="1"/>
  <c r="J60" i="1"/>
  <c r="H52" i="1"/>
  <c r="L52" i="1"/>
  <c r="I52" i="1"/>
  <c r="F52" i="1"/>
  <c r="G52" i="1"/>
  <c r="J52" i="1"/>
  <c r="K52" i="1"/>
  <c r="H44" i="1"/>
  <c r="L44" i="1"/>
  <c r="G44" i="1"/>
  <c r="I44" i="1"/>
  <c r="J44" i="1"/>
  <c r="F44" i="1"/>
  <c r="K44" i="1"/>
  <c r="H36" i="1"/>
  <c r="L36" i="1"/>
  <c r="J36" i="1"/>
  <c r="F36" i="1"/>
  <c r="K36" i="1"/>
  <c r="G36" i="1"/>
  <c r="I36" i="1"/>
  <c r="H28" i="1"/>
  <c r="L28" i="1"/>
  <c r="G28" i="1"/>
  <c r="I28" i="1"/>
  <c r="F28" i="1"/>
  <c r="J28" i="1"/>
  <c r="K28" i="1"/>
  <c r="H20" i="1"/>
  <c r="L20" i="1"/>
  <c r="J20" i="1"/>
  <c r="F20" i="1"/>
  <c r="K20" i="1"/>
  <c r="G20" i="1"/>
  <c r="I20" i="1"/>
  <c r="H8" i="1"/>
  <c r="L8" i="1"/>
  <c r="I8" i="1"/>
  <c r="J8" i="1"/>
  <c r="F8" i="1"/>
  <c r="K8" i="1"/>
  <c r="G8" i="1"/>
  <c r="H4" i="1"/>
  <c r="L4" i="1"/>
  <c r="J4" i="1"/>
  <c r="F4" i="1"/>
  <c r="K4" i="1"/>
  <c r="G4" i="1"/>
  <c r="I4" i="1"/>
  <c r="G63" i="1"/>
  <c r="H63" i="1"/>
  <c r="L63" i="1"/>
  <c r="I63" i="1"/>
  <c r="J63" i="1"/>
  <c r="K63" i="1"/>
  <c r="F63" i="1"/>
  <c r="G55" i="1"/>
  <c r="K55" i="1"/>
  <c r="H55" i="1"/>
  <c r="L55" i="1"/>
  <c r="I55" i="1"/>
  <c r="J55" i="1"/>
  <c r="F55" i="1"/>
  <c r="G47" i="1"/>
  <c r="K47" i="1"/>
  <c r="H47" i="1"/>
  <c r="I47" i="1"/>
  <c r="J47" i="1"/>
  <c r="F47" i="1"/>
  <c r="L47" i="1"/>
  <c r="G39" i="1"/>
  <c r="K39" i="1"/>
  <c r="J39" i="1"/>
  <c r="F39" i="1"/>
  <c r="L39" i="1"/>
  <c r="H39" i="1"/>
  <c r="I39" i="1"/>
  <c r="G31" i="1"/>
  <c r="K31" i="1"/>
  <c r="H31" i="1"/>
  <c r="I31" i="1"/>
  <c r="F31" i="1"/>
  <c r="J31" i="1"/>
  <c r="L31" i="1"/>
  <c r="G23" i="1"/>
  <c r="K23" i="1"/>
  <c r="J23" i="1"/>
  <c r="F23" i="1"/>
  <c r="L23" i="1"/>
  <c r="H23" i="1"/>
  <c r="I23" i="1"/>
  <c r="G15" i="1"/>
  <c r="K15" i="1"/>
  <c r="H15" i="1"/>
  <c r="I15" i="1"/>
  <c r="J15" i="1"/>
  <c r="L15" i="1"/>
  <c r="F15" i="1"/>
  <c r="G11" i="1"/>
  <c r="K11" i="1"/>
  <c r="I11" i="1"/>
  <c r="J11" i="1"/>
  <c r="F11" i="1"/>
  <c r="L11" i="1"/>
  <c r="H11" i="1"/>
  <c r="G7" i="1"/>
  <c r="K7" i="1"/>
  <c r="J7" i="1"/>
  <c r="F7" i="1"/>
  <c r="L7" i="1"/>
  <c r="H7" i="1"/>
  <c r="I7" i="1"/>
  <c r="G3" i="1"/>
  <c r="K3" i="1"/>
  <c r="F3" i="1"/>
  <c r="L3" i="1"/>
  <c r="H3" i="1"/>
  <c r="I3" i="1"/>
  <c r="J3" i="1"/>
  <c r="G66" i="1"/>
  <c r="K66" i="1"/>
  <c r="I66" i="1"/>
  <c r="H66" i="1"/>
  <c r="J66" i="1"/>
  <c r="F66" i="1"/>
  <c r="L66" i="1"/>
  <c r="F62" i="1"/>
  <c r="J62" i="1"/>
  <c r="G62" i="1"/>
  <c r="K62" i="1"/>
  <c r="H62" i="1"/>
  <c r="I62" i="1"/>
  <c r="L62" i="1"/>
  <c r="F58" i="1"/>
  <c r="J58" i="1"/>
  <c r="G58" i="1"/>
  <c r="K58" i="1"/>
  <c r="L58" i="1"/>
  <c r="I58" i="1"/>
  <c r="H58" i="1"/>
  <c r="F54" i="1"/>
  <c r="J54" i="1"/>
  <c r="G54" i="1"/>
  <c r="K54" i="1"/>
  <c r="H54" i="1"/>
  <c r="I54" i="1"/>
  <c r="L54" i="1"/>
  <c r="F50" i="1"/>
  <c r="J50" i="1"/>
  <c r="H50" i="1"/>
  <c r="I50" i="1"/>
  <c r="K50" i="1"/>
  <c r="L50" i="1"/>
  <c r="G50" i="1"/>
  <c r="F46" i="1"/>
  <c r="J46" i="1"/>
  <c r="I46" i="1"/>
  <c r="K46" i="1"/>
  <c r="G46" i="1"/>
  <c r="H46" i="1"/>
  <c r="L46" i="1"/>
  <c r="F42" i="1"/>
  <c r="J42" i="1"/>
  <c r="K42" i="1"/>
  <c r="G42" i="1"/>
  <c r="L42" i="1"/>
  <c r="H42" i="1"/>
  <c r="I42" i="1"/>
  <c r="F38" i="1"/>
  <c r="J38" i="1"/>
  <c r="G38" i="1"/>
  <c r="L38" i="1"/>
  <c r="H38" i="1"/>
  <c r="I38" i="1"/>
  <c r="K38" i="1"/>
  <c r="F34" i="1"/>
  <c r="J34" i="1"/>
  <c r="H34" i="1"/>
  <c r="I34" i="1"/>
  <c r="L34" i="1"/>
  <c r="G34" i="1"/>
  <c r="K34" i="1"/>
  <c r="F30" i="1"/>
  <c r="J30" i="1"/>
  <c r="I30" i="1"/>
  <c r="K30" i="1"/>
  <c r="L30" i="1"/>
  <c r="G30" i="1"/>
  <c r="H30" i="1"/>
  <c r="F26" i="1"/>
  <c r="J26" i="1"/>
  <c r="K26" i="1"/>
  <c r="G26" i="1"/>
  <c r="L26" i="1"/>
  <c r="H26" i="1"/>
  <c r="I26" i="1"/>
  <c r="F22" i="1"/>
  <c r="J22" i="1"/>
  <c r="G22" i="1"/>
  <c r="L22" i="1"/>
  <c r="H22" i="1"/>
  <c r="I22" i="1"/>
  <c r="K22" i="1"/>
  <c r="F18" i="1"/>
  <c r="J18" i="1"/>
  <c r="H18" i="1"/>
  <c r="I18" i="1"/>
  <c r="K18" i="1"/>
  <c r="L18" i="1"/>
  <c r="G18" i="1"/>
  <c r="J2" i="1"/>
  <c r="K2" i="1"/>
  <c r="H2" i="1"/>
  <c r="I2" i="1"/>
  <c r="F2" i="1"/>
  <c r="G2" i="1"/>
  <c r="E77" i="3"/>
  <c r="C77" i="3" s="1"/>
  <c r="E79" i="3"/>
  <c r="C79" i="3" s="1"/>
  <c r="E75" i="3"/>
  <c r="C75" i="3" s="1"/>
  <c r="E78" i="3"/>
  <c r="C78" i="3" s="1"/>
  <c r="E74" i="3"/>
  <c r="E76" i="3"/>
  <c r="C76" i="3" s="1"/>
  <c r="E80" i="3"/>
  <c r="C80" i="3" s="1"/>
  <c r="L70" i="3" l="1"/>
  <c r="J70" i="3"/>
  <c r="G70" i="3"/>
  <c r="I70" i="3"/>
  <c r="K70" i="3"/>
  <c r="F70" i="3"/>
  <c r="C74" i="3" s="1"/>
  <c r="C81" i="3" s="1"/>
  <c r="K3" i="2" s="1"/>
  <c r="H70" i="3"/>
  <c r="H8" i="2"/>
  <c r="H7" i="2"/>
  <c r="H6" i="2"/>
  <c r="H5" i="2"/>
  <c r="H4" i="2"/>
  <c r="H3" i="2"/>
  <c r="H2" i="2"/>
  <c r="C3" i="2" l="1"/>
  <c r="C7" i="2"/>
  <c r="C4" i="2"/>
  <c r="C8" i="2"/>
  <c r="C5" i="2"/>
  <c r="C2" i="2"/>
  <c r="C6" i="2"/>
  <c r="B80" i="1"/>
  <c r="B79" i="1"/>
  <c r="B78" i="1"/>
  <c r="B77" i="1"/>
  <c r="B76" i="1"/>
  <c r="B75" i="1"/>
  <c r="B74" i="1"/>
  <c r="E80" i="1" l="1"/>
  <c r="E76" i="1"/>
  <c r="E78" i="1"/>
  <c r="E77" i="1"/>
  <c r="E79" i="1"/>
  <c r="E75" i="1"/>
  <c r="E74" i="1"/>
  <c r="K70" i="1" l="1"/>
  <c r="C79" i="1" s="1"/>
  <c r="G70" i="1"/>
  <c r="C75" i="1" s="1"/>
  <c r="L70" i="1"/>
  <c r="C80" i="1" s="1"/>
  <c r="F70" i="1"/>
  <c r="C74" i="1" s="1"/>
  <c r="J70" i="1"/>
  <c r="C78" i="1" s="1"/>
  <c r="H70" i="1"/>
  <c r="C76" i="1" s="1"/>
  <c r="I70" i="1"/>
  <c r="C77" i="1" s="1"/>
  <c r="C81" i="1" l="1"/>
  <c r="K2" i="2" s="1"/>
</calcChain>
</file>

<file path=xl/sharedStrings.xml><?xml version="1.0" encoding="utf-8"?>
<sst xmlns="http://schemas.openxmlformats.org/spreadsheetml/2006/main" count="330" uniqueCount="94">
  <si>
    <t>School Name</t>
  </si>
  <si>
    <t>Rank</t>
  </si>
  <si>
    <t>The First Four</t>
  </si>
  <si>
    <t>2nd Round</t>
  </si>
  <si>
    <t>3rd Round</t>
  </si>
  <si>
    <t>4th Round</t>
  </si>
  <si>
    <t>5th Round</t>
  </si>
  <si>
    <t>Final Four</t>
  </si>
  <si>
    <t>Championship</t>
  </si>
  <si>
    <t>Kentucky</t>
  </si>
  <si>
    <t>Duke</t>
  </si>
  <si>
    <t>Louisville</t>
  </si>
  <si>
    <t>Michigan State</t>
  </si>
  <si>
    <t>Wisconsin</t>
  </si>
  <si>
    <t>Butler</t>
  </si>
  <si>
    <t>Indiana</t>
  </si>
  <si>
    <t>Buffalo</t>
  </si>
  <si>
    <t>St John's</t>
  </si>
  <si>
    <t>North Carolina</t>
  </si>
  <si>
    <t>Georgia</t>
  </si>
  <si>
    <t>Texas</t>
  </si>
  <si>
    <t>Oklahoma</t>
  </si>
  <si>
    <t>Oklahoma State</t>
  </si>
  <si>
    <t>Oregon</t>
  </si>
  <si>
    <t>UCLA</t>
  </si>
  <si>
    <t>Arizona</t>
  </si>
  <si>
    <t>Kansas</t>
  </si>
  <si>
    <t>Virginia</t>
  </si>
  <si>
    <t>Gonzaga</t>
  </si>
  <si>
    <t>Ohio State</t>
  </si>
  <si>
    <t>Notre Dame</t>
  </si>
  <si>
    <t>Georgia State</t>
  </si>
  <si>
    <t>Ole Miss</t>
  </si>
  <si>
    <t>Villanova</t>
  </si>
  <si>
    <t>Dayton</t>
  </si>
  <si>
    <t>Iowa</t>
  </si>
  <si>
    <t>Iowa State</t>
  </si>
  <si>
    <t>Wichata State</t>
  </si>
  <si>
    <t>Hampton</t>
  </si>
  <si>
    <t>Cincinnati</t>
  </si>
  <si>
    <t>Purdue</t>
  </si>
  <si>
    <t>West Virginia</t>
  </si>
  <si>
    <t>Maryland</t>
  </si>
  <si>
    <t>Valparaiso</t>
  </si>
  <si>
    <t>Northeastern</t>
  </si>
  <si>
    <t>New Mexico State</t>
  </si>
  <si>
    <t>Coastal Carolina</t>
  </si>
  <si>
    <t>Arkansas</t>
  </si>
  <si>
    <t>Wofford</t>
  </si>
  <si>
    <t>Harvard</t>
  </si>
  <si>
    <t>Xavier</t>
  </si>
  <si>
    <t>Baylor</t>
  </si>
  <si>
    <t>VCU</t>
  </si>
  <si>
    <t>Texas Southern</t>
  </si>
  <si>
    <t>Lafayette</t>
  </si>
  <si>
    <t>NC State</t>
  </si>
  <si>
    <t>LSU</t>
  </si>
  <si>
    <t>Northern Iowa</t>
  </si>
  <si>
    <t>Wyoming</t>
  </si>
  <si>
    <t>Providence</t>
  </si>
  <si>
    <t>Albany</t>
  </si>
  <si>
    <t>Belmont</t>
  </si>
  <si>
    <t>Robert Morris</t>
  </si>
  <si>
    <t>San Diego State</t>
  </si>
  <si>
    <t>Utah</t>
  </si>
  <si>
    <t>SF Austin</t>
  </si>
  <si>
    <t>Eastern Washington</t>
  </si>
  <si>
    <t>SMU</t>
  </si>
  <si>
    <t>UAB</t>
  </si>
  <si>
    <t>Davidson</t>
  </si>
  <si>
    <t>North Dakota State</t>
  </si>
  <si>
    <t>Georgetown</t>
  </si>
  <si>
    <t>Boise State</t>
  </si>
  <si>
    <t>North Florida</t>
  </si>
  <si>
    <t>Manhattan</t>
  </si>
  <si>
    <t>BYU</t>
  </si>
  <si>
    <t>UC Irvine</t>
  </si>
  <si>
    <t>Sample #1</t>
  </si>
  <si>
    <t>Sample #2</t>
  </si>
  <si>
    <t>Result</t>
  </si>
  <si>
    <t>Select</t>
  </si>
  <si>
    <t>Lost First Four</t>
  </si>
  <si>
    <t>Lost 2nd Round</t>
  </si>
  <si>
    <t>Lost 3rd Round</t>
  </si>
  <si>
    <t>Lost 4th Round</t>
  </si>
  <si>
    <t>Lost 5th Round</t>
  </si>
  <si>
    <t>Lost Final Four</t>
  </si>
  <si>
    <t>Lost Championship</t>
  </si>
  <si>
    <t>Champion</t>
  </si>
  <si>
    <t>Score</t>
  </si>
  <si>
    <t xml:space="preserve">Contestant </t>
  </si>
  <si>
    <t>First Four</t>
  </si>
  <si>
    <t xml:space="preserve"> </t>
  </si>
  <si>
    <t>1st Four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</si>
</sst>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C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Border="1" applyAlignment="1">
      <alignment horizontal="left"/>
    </xf>
    <xf numFmtId="0" fontId="0" fillId="2" borderId="0" xfId="0" applyFill="1"/>
    <xf numFmtId="0" fontId="2" fillId="4" borderId="1" xfId="0" applyFont="1" applyFill="1" applyBorder="1" applyAlignment="1">
      <alignment horizontal="center"/>
    </xf>
    <xf numFmtId="0" fontId="0" fillId="0" borderId="1" xfId="0" applyFill="1" applyBorder="1"/>
    <xf numFmtId="164" fontId="0" fillId="0" borderId="1" xfId="1" applyNumberFormat="1" applyFont="1" applyFill="1" applyBorder="1"/>
    <xf numFmtId="0" fontId="0" fillId="2" borderId="0" xfId="0" applyFill="1" applyAlignment="1">
      <alignment horizontal="center"/>
    </xf>
    <xf numFmtId="0" fontId="0" fillId="2" borderId="0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0" fillId="3" borderId="1" xfId="0" applyFill="1" applyBorder="1" applyAlignment="1" applyProtection="1">
      <alignment horizontal="center"/>
      <protection locked="0"/>
    </xf>
    <xf numFmtId="0" fontId="2" fillId="4" borderId="0" xfId="0" applyFont="1" applyFill="1" applyBorder="1" applyAlignment="1">
      <alignment horizontal="center"/>
    </xf>
    <xf numFmtId="0" fontId="0" fillId="3" borderId="0" xfId="0" applyFill="1" applyBorder="1" applyAlignment="1" applyProtection="1">
      <alignment horizontal="center"/>
      <protection locked="0"/>
    </xf>
    <xf numFmtId="0" fontId="2" fillId="4" borderId="0" xfId="0" applyFont="1" applyFill="1" applyAlignment="1">
      <alignment horizontal="center"/>
    </xf>
    <xf numFmtId="0" fontId="3" fillId="2" borderId="0" xfId="0" applyFont="1" applyFill="1"/>
    <xf numFmtId="0" fontId="0" fillId="0" borderId="0" xfId="0" applyFill="1" applyBorder="1" applyAlignment="1" applyProtection="1">
      <alignment horizontal="center"/>
    </xf>
    <xf numFmtId="0" fontId="0" fillId="2" borderId="0" xfId="0" applyFill="1" applyAlignment="1">
      <alignment horizontal="right"/>
    </xf>
    <xf numFmtId="0" fontId="4" fillId="2" borderId="0" xfId="0" applyFont="1" applyFill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4</xdr:row>
      <xdr:rowOff>152400</xdr:rowOff>
    </xdr:from>
    <xdr:to>
      <xdr:col>15</xdr:col>
      <xdr:colOff>200025</xdr:colOff>
      <xdr:row>9</xdr:row>
      <xdr:rowOff>114300</xdr:rowOff>
    </xdr:to>
    <xdr:sp macro="[0]!Macro1" textlink="">
      <xdr:nvSpPr>
        <xdr:cNvPr id="2" name="Rounded Rectangle 1"/>
        <xdr:cNvSpPr/>
      </xdr:nvSpPr>
      <xdr:spPr>
        <a:xfrm>
          <a:off x="4152900" y="914400"/>
          <a:ext cx="91440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4</xdr:row>
      <xdr:rowOff>152400</xdr:rowOff>
    </xdr:from>
    <xdr:to>
      <xdr:col>15</xdr:col>
      <xdr:colOff>200025</xdr:colOff>
      <xdr:row>9</xdr:row>
      <xdr:rowOff>114300</xdr:rowOff>
    </xdr:to>
    <xdr:sp macro="[0]!Macro2" textlink="">
      <xdr:nvSpPr>
        <xdr:cNvPr id="2" name="Rounded Rectangle 1"/>
        <xdr:cNvSpPr/>
      </xdr:nvSpPr>
      <xdr:spPr>
        <a:xfrm>
          <a:off x="4152900" y="914400"/>
          <a:ext cx="91440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Sort</a:t>
          </a:r>
        </a:p>
      </xdr:txBody>
    </xdr:sp>
    <xdr:clientData/>
  </xdr:twoCellAnchor>
  <xdr:twoCellAnchor>
    <xdr:from>
      <xdr:col>13</xdr:col>
      <xdr:colOff>504825</xdr:colOff>
      <xdr:row>4</xdr:row>
      <xdr:rowOff>152400</xdr:rowOff>
    </xdr:from>
    <xdr:to>
      <xdr:col>15</xdr:col>
      <xdr:colOff>200025</xdr:colOff>
      <xdr:row>9</xdr:row>
      <xdr:rowOff>114300</xdr:rowOff>
    </xdr:to>
    <xdr:sp macro="[0]!Macro2" textlink="">
      <xdr:nvSpPr>
        <xdr:cNvPr id="3" name="Rounded Rectangle 2"/>
        <xdr:cNvSpPr/>
      </xdr:nvSpPr>
      <xdr:spPr>
        <a:xfrm>
          <a:off x="4391025" y="914400"/>
          <a:ext cx="142875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V69"/>
  <sheetViews>
    <sheetView tabSelected="1" workbookViewId="0">
      <pane ySplit="1" topLeftCell="A2" activePane="bottomLeft" state="frozen"/>
      <selection pane="bottomLeft" activeCell="F2" sqref="F2"/>
    </sheetView>
  </sheetViews>
  <sheetFormatPr defaultRowHeight="15" x14ac:dyDescent="0.25"/>
  <cols>
    <col min="1" max="1" width="9.140625" style="2"/>
    <col min="2" max="2" width="13.85546875" style="2" bestFit="1" customWidth="1"/>
    <col min="3" max="3" width="14.28515625" style="2" customWidth="1"/>
    <col min="4" max="4" width="9.140625" style="2"/>
    <col min="5" max="5" width="18.85546875" style="2" bestFit="1" customWidth="1"/>
    <col min="6" max="6" width="18" style="2" bestFit="1" customWidth="1"/>
    <col min="7" max="7" width="18" style="2" hidden="1" customWidth="1"/>
    <col min="8" max="8" width="10.28515625" style="2" hidden="1" customWidth="1"/>
    <col min="9" max="9" width="9.140625" style="2"/>
    <col min="10" max="10" width="14.85546875" style="2" customWidth="1"/>
    <col min="11" max="11" width="16.140625" style="2" customWidth="1"/>
    <col min="12" max="16384" width="9.140625" style="2"/>
  </cols>
  <sheetData>
    <row r="1" spans="2:22" x14ac:dyDescent="0.25">
      <c r="E1" s="3" t="s">
        <v>0</v>
      </c>
      <c r="F1" s="3" t="s">
        <v>79</v>
      </c>
      <c r="G1" s="11"/>
      <c r="J1" s="3" t="s">
        <v>90</v>
      </c>
      <c r="K1" s="3" t="s">
        <v>89</v>
      </c>
    </row>
    <row r="2" spans="2:22" x14ac:dyDescent="0.25">
      <c r="B2" s="4" t="s">
        <v>91</v>
      </c>
      <c r="C2" s="4" t="str">
        <f>IF(H2=0,"",IF(H2&lt;4,"Not Complete", IF(H2=4, "Complete", IF(H2&gt;4, "Too Many"))))</f>
        <v/>
      </c>
      <c r="E2" s="1" t="s">
        <v>60</v>
      </c>
      <c r="F2" s="10" t="s">
        <v>80</v>
      </c>
      <c r="G2" s="12" t="str">
        <f>IF(E2=$B$11,"1st Four", IF(E2=$B$12,"1st Four", IF(E2=$B$13,"1st Four", IF(E2=$B$14,"1st Four", IF(E2=$B$15,"1st Four", IF(E2=$B$16,"1st Four",IF(E2=$B$17,"1st Four", IF(E2=$B$18,"1st Four",""))))))))</f>
        <v/>
      </c>
      <c r="H2" s="2">
        <f>COUNTIF($F$2:$F$69,"Lost First Four")</f>
        <v>0</v>
      </c>
      <c r="J2" s="4" t="s">
        <v>77</v>
      </c>
      <c r="K2" s="5">
        <f>'Contestant Sample #1'!C81</f>
        <v>0</v>
      </c>
    </row>
    <row r="3" spans="2:22" x14ac:dyDescent="0.25">
      <c r="B3" s="4" t="s">
        <v>3</v>
      </c>
      <c r="C3" s="4" t="str">
        <f>IF(H3=0,"",IF(H3&lt;32,"Not Complete", IF(H3=32, "Complete", IF(H3&gt;32, "Too Many"))))</f>
        <v/>
      </c>
      <c r="E3" s="1" t="s">
        <v>25</v>
      </c>
      <c r="F3" s="10" t="s">
        <v>80</v>
      </c>
      <c r="G3" s="12" t="str">
        <f t="shared" ref="G3:G66" si="0">IF(E3=$B$11,"1st Four", IF(E3=$B$12,"1st Four", IF(E3=$B$13,"1st Four", IF(E3=$B$14,"1st Four", IF(E3=$B$15,"1st Four", IF(E3=$B$16,"1st Four",IF(E3=$B$17,"1st Four", IF(E3=$B$18,"1st Four",""))))))))</f>
        <v/>
      </c>
      <c r="H3" s="2">
        <f>COUNTIF($F$2:$F$69,"Lost 2nd Round")</f>
        <v>0</v>
      </c>
      <c r="J3" s="4" t="s">
        <v>78</v>
      </c>
      <c r="K3" s="5">
        <f>'Contestant Sample #2'!C81</f>
        <v>0</v>
      </c>
    </row>
    <row r="4" spans="2:22" x14ac:dyDescent="0.25">
      <c r="B4" s="4" t="s">
        <v>4</v>
      </c>
      <c r="C4" s="4" t="str">
        <f>IF(H4=0,"",IF(H4&lt;16,"Not Complete", IF(H4=16, "Complete", IF(H4&gt;16, "Too Many"))))</f>
        <v/>
      </c>
      <c r="E4" s="1" t="s">
        <v>47</v>
      </c>
      <c r="F4" s="10" t="s">
        <v>80</v>
      </c>
      <c r="G4" s="12" t="str">
        <f t="shared" si="0"/>
        <v/>
      </c>
      <c r="H4" s="2">
        <f>COUNTIF($F$2:$F$69,"Lost 3rd Round")</f>
        <v>0</v>
      </c>
      <c r="J4" s="4"/>
      <c r="K4" s="5"/>
      <c r="V4" s="2" t="s">
        <v>80</v>
      </c>
    </row>
    <row r="5" spans="2:22" x14ac:dyDescent="0.25">
      <c r="B5" s="4" t="s">
        <v>5</v>
      </c>
      <c r="C5" s="4" t="str">
        <f>IF(H5=0,"",IF(H5&lt;8,"Not Complete", IF(H5=8, "Complete", IF(H5&gt;8, "Too Many"))))</f>
        <v/>
      </c>
      <c r="E5" s="1" t="s">
        <v>51</v>
      </c>
      <c r="F5" s="10" t="s">
        <v>80</v>
      </c>
      <c r="G5" s="12" t="str">
        <f t="shared" si="0"/>
        <v/>
      </c>
      <c r="H5" s="2">
        <f>COUNTIF($F$2:$F$69,"Lost 4th Round")</f>
        <v>0</v>
      </c>
      <c r="J5" s="4"/>
      <c r="K5" s="5"/>
      <c r="V5" s="2" t="s">
        <v>81</v>
      </c>
    </row>
    <row r="6" spans="2:22" x14ac:dyDescent="0.25">
      <c r="B6" s="4" t="s">
        <v>6</v>
      </c>
      <c r="C6" s="4" t="str">
        <f>IF(H6=0,"",IF(H6&lt;4,"Not Complete", IF(H6=4, "Complete", IF(H6&gt;4, "Too Many"))))</f>
        <v/>
      </c>
      <c r="E6" s="1" t="s">
        <v>61</v>
      </c>
      <c r="F6" s="10" t="s">
        <v>80</v>
      </c>
      <c r="G6" s="12" t="str">
        <f t="shared" si="0"/>
        <v/>
      </c>
      <c r="H6" s="2">
        <f>COUNTIF($F$2:$F$69,"Lost 5th Round")</f>
        <v>0</v>
      </c>
      <c r="J6" s="4"/>
      <c r="K6" s="5"/>
      <c r="V6" s="2" t="s">
        <v>82</v>
      </c>
    </row>
    <row r="7" spans="2:22" x14ac:dyDescent="0.25">
      <c r="B7" s="4" t="s">
        <v>7</v>
      </c>
      <c r="C7" s="4" t="str">
        <f>IF(H7=0,"",IF(H7&lt;2,"Not Complete", IF(H7=2, "Complete", IF(H7&gt;2, "Too Many"))))</f>
        <v/>
      </c>
      <c r="E7" s="1" t="s">
        <v>72</v>
      </c>
      <c r="F7" s="10" t="s">
        <v>80</v>
      </c>
      <c r="G7" s="12" t="str">
        <f t="shared" si="0"/>
        <v>1st Four</v>
      </c>
      <c r="H7" s="2">
        <f>COUNTIF($F$2:$F$69,"Lost Final Four")</f>
        <v>0</v>
      </c>
      <c r="J7" s="4"/>
      <c r="K7" s="5"/>
      <c r="V7" s="2" t="s">
        <v>83</v>
      </c>
    </row>
    <row r="8" spans="2:22" x14ac:dyDescent="0.25">
      <c r="B8" s="4" t="s">
        <v>8</v>
      </c>
      <c r="C8" s="4" t="str">
        <f>IF(H8=0,"",IF(H8&lt;1,"Not Complete", IF(H8=1, "Complete", IF(H8&gt;1, "Too Many"))))</f>
        <v/>
      </c>
      <c r="E8" s="1" t="s">
        <v>16</v>
      </c>
      <c r="F8" s="10" t="s">
        <v>80</v>
      </c>
      <c r="G8" s="12" t="str">
        <f t="shared" si="0"/>
        <v/>
      </c>
      <c r="H8" s="2">
        <f>COUNTIF($F$2:$F$69,"Lost Championship")</f>
        <v>0</v>
      </c>
      <c r="J8" s="4"/>
      <c r="K8" s="5"/>
      <c r="V8" s="2" t="s">
        <v>84</v>
      </c>
    </row>
    <row r="9" spans="2:22" x14ac:dyDescent="0.25">
      <c r="E9" s="1" t="s">
        <v>14</v>
      </c>
      <c r="F9" s="10" t="s">
        <v>80</v>
      </c>
      <c r="G9" s="12" t="str">
        <f t="shared" si="0"/>
        <v/>
      </c>
      <c r="J9" s="4"/>
      <c r="K9" s="5"/>
      <c r="V9" s="2" t="s">
        <v>85</v>
      </c>
    </row>
    <row r="10" spans="2:22" x14ac:dyDescent="0.25">
      <c r="B10" s="13" t="s">
        <v>91</v>
      </c>
      <c r="C10" s="2" t="s">
        <v>92</v>
      </c>
      <c r="E10" s="1" t="s">
        <v>75</v>
      </c>
      <c r="F10" s="10" t="s">
        <v>80</v>
      </c>
      <c r="G10" s="12" t="str">
        <f t="shared" si="0"/>
        <v>1st Four</v>
      </c>
      <c r="J10" s="4"/>
      <c r="K10" s="5"/>
      <c r="V10" s="2" t="s">
        <v>86</v>
      </c>
    </row>
    <row r="11" spans="2:22" x14ac:dyDescent="0.25">
      <c r="B11" s="4" t="s">
        <v>72</v>
      </c>
      <c r="C11" s="14" t="s">
        <v>93</v>
      </c>
      <c r="E11" s="1" t="s">
        <v>39</v>
      </c>
      <c r="F11" s="10" t="s">
        <v>80</v>
      </c>
      <c r="G11" s="12" t="str">
        <f t="shared" si="0"/>
        <v/>
      </c>
      <c r="J11" s="4"/>
      <c r="K11" s="5"/>
      <c r="V11" s="2" t="s">
        <v>87</v>
      </c>
    </row>
    <row r="12" spans="2:22" x14ac:dyDescent="0.25">
      <c r="B12" s="4" t="s">
        <v>75</v>
      </c>
      <c r="C12" s="14" t="s">
        <v>93</v>
      </c>
      <c r="E12" s="1" t="s">
        <v>46</v>
      </c>
      <c r="F12" s="10" t="s">
        <v>80</v>
      </c>
      <c r="G12" s="12" t="str">
        <f t="shared" si="0"/>
        <v/>
      </c>
      <c r="J12" s="4"/>
      <c r="K12" s="5"/>
      <c r="V12" s="2" t="s">
        <v>88</v>
      </c>
    </row>
    <row r="13" spans="2:22" x14ac:dyDescent="0.25">
      <c r="B13" s="4" t="s">
        <v>34</v>
      </c>
      <c r="C13" s="14" t="s">
        <v>93</v>
      </c>
      <c r="E13" s="1" t="s">
        <v>69</v>
      </c>
      <c r="F13" s="10" t="s">
        <v>80</v>
      </c>
      <c r="G13" s="12" t="str">
        <f t="shared" si="0"/>
        <v/>
      </c>
      <c r="J13" s="4"/>
      <c r="K13" s="5"/>
    </row>
    <row r="14" spans="2:22" x14ac:dyDescent="0.25">
      <c r="B14" s="4" t="s">
        <v>38</v>
      </c>
      <c r="C14" s="14" t="s">
        <v>93</v>
      </c>
      <c r="E14" s="1" t="s">
        <v>34</v>
      </c>
      <c r="F14" s="10" t="s">
        <v>80</v>
      </c>
      <c r="G14" s="12" t="str">
        <f t="shared" si="0"/>
        <v>1st Four</v>
      </c>
      <c r="J14" s="4"/>
      <c r="K14" s="5"/>
    </row>
    <row r="15" spans="2:22" x14ac:dyDescent="0.25">
      <c r="B15" s="4" t="s">
        <v>74</v>
      </c>
      <c r="C15" s="14" t="s">
        <v>93</v>
      </c>
      <c r="E15" s="1" t="s">
        <v>10</v>
      </c>
      <c r="F15" s="10" t="s">
        <v>80</v>
      </c>
      <c r="G15" s="12" t="str">
        <f t="shared" si="0"/>
        <v/>
      </c>
      <c r="J15" s="4"/>
      <c r="K15" s="5"/>
    </row>
    <row r="16" spans="2:22" x14ac:dyDescent="0.25">
      <c r="B16" s="4" t="s">
        <v>73</v>
      </c>
      <c r="C16" s="14" t="s">
        <v>93</v>
      </c>
      <c r="E16" s="1" t="s">
        <v>66</v>
      </c>
      <c r="F16" s="10" t="s">
        <v>80</v>
      </c>
      <c r="G16" s="12" t="str">
        <f t="shared" si="0"/>
        <v/>
      </c>
      <c r="J16" s="4"/>
      <c r="K16" s="5"/>
    </row>
    <row r="17" spans="2:11" x14ac:dyDescent="0.25">
      <c r="B17" s="4" t="s">
        <v>32</v>
      </c>
      <c r="C17" s="14" t="s">
        <v>93</v>
      </c>
      <c r="E17" s="1" t="s">
        <v>71</v>
      </c>
      <c r="F17" s="10" t="s">
        <v>80</v>
      </c>
      <c r="G17" s="12" t="str">
        <f t="shared" si="0"/>
        <v/>
      </c>
      <c r="J17" s="4"/>
      <c r="K17" s="5"/>
    </row>
    <row r="18" spans="2:11" x14ac:dyDescent="0.25">
      <c r="B18" s="4" t="s">
        <v>62</v>
      </c>
      <c r="C18" s="14" t="s">
        <v>93</v>
      </c>
      <c r="E18" s="1" t="s">
        <v>19</v>
      </c>
      <c r="F18" s="10" t="s">
        <v>80</v>
      </c>
      <c r="G18" s="12" t="str">
        <f t="shared" si="0"/>
        <v/>
      </c>
      <c r="J18" s="4"/>
      <c r="K18" s="5"/>
    </row>
    <row r="19" spans="2:11" x14ac:dyDescent="0.25">
      <c r="E19" s="1" t="s">
        <v>31</v>
      </c>
      <c r="F19" s="10" t="s">
        <v>80</v>
      </c>
      <c r="G19" s="12" t="str">
        <f t="shared" si="0"/>
        <v/>
      </c>
      <c r="J19" s="4"/>
      <c r="K19" s="5"/>
    </row>
    <row r="20" spans="2:11" x14ac:dyDescent="0.25">
      <c r="E20" s="1" t="s">
        <v>28</v>
      </c>
      <c r="F20" s="10" t="s">
        <v>80</v>
      </c>
      <c r="G20" s="12" t="str">
        <f t="shared" si="0"/>
        <v/>
      </c>
      <c r="J20" s="4"/>
      <c r="K20" s="5"/>
    </row>
    <row r="21" spans="2:11" x14ac:dyDescent="0.25">
      <c r="E21" s="1" t="s">
        <v>38</v>
      </c>
      <c r="F21" s="10" t="s">
        <v>80</v>
      </c>
      <c r="G21" s="12" t="str">
        <f t="shared" si="0"/>
        <v>1st Four</v>
      </c>
    </row>
    <row r="22" spans="2:11" x14ac:dyDescent="0.25">
      <c r="E22" s="1" t="s">
        <v>49</v>
      </c>
      <c r="F22" s="10" t="s">
        <v>80</v>
      </c>
      <c r="G22" s="12" t="str">
        <f t="shared" si="0"/>
        <v/>
      </c>
    </row>
    <row r="23" spans="2:11" x14ac:dyDescent="0.25">
      <c r="E23" s="1" t="s">
        <v>15</v>
      </c>
      <c r="F23" s="10" t="s">
        <v>80</v>
      </c>
      <c r="G23" s="12" t="str">
        <f t="shared" si="0"/>
        <v/>
      </c>
    </row>
    <row r="24" spans="2:11" x14ac:dyDescent="0.25">
      <c r="E24" s="1" t="s">
        <v>35</v>
      </c>
      <c r="F24" s="10" t="s">
        <v>80</v>
      </c>
      <c r="G24" s="12" t="str">
        <f t="shared" si="0"/>
        <v/>
      </c>
    </row>
    <row r="25" spans="2:11" x14ac:dyDescent="0.25">
      <c r="E25" s="1" t="s">
        <v>36</v>
      </c>
      <c r="F25" s="10" t="s">
        <v>80</v>
      </c>
      <c r="G25" s="12" t="str">
        <f t="shared" si="0"/>
        <v/>
      </c>
    </row>
    <row r="26" spans="2:11" x14ac:dyDescent="0.25">
      <c r="E26" s="1" t="s">
        <v>26</v>
      </c>
      <c r="F26" s="10" t="s">
        <v>80</v>
      </c>
      <c r="G26" s="12" t="str">
        <f t="shared" si="0"/>
        <v/>
      </c>
    </row>
    <row r="27" spans="2:11" x14ac:dyDescent="0.25">
      <c r="E27" s="1" t="s">
        <v>9</v>
      </c>
      <c r="F27" s="10" t="s">
        <v>80</v>
      </c>
      <c r="G27" s="12" t="str">
        <f t="shared" si="0"/>
        <v/>
      </c>
    </row>
    <row r="28" spans="2:11" x14ac:dyDescent="0.25">
      <c r="E28" s="1" t="s">
        <v>54</v>
      </c>
      <c r="F28" s="10" t="s">
        <v>80</v>
      </c>
      <c r="G28" s="12" t="str">
        <f t="shared" si="0"/>
        <v/>
      </c>
    </row>
    <row r="29" spans="2:11" x14ac:dyDescent="0.25">
      <c r="E29" s="1" t="s">
        <v>11</v>
      </c>
      <c r="F29" s="10" t="s">
        <v>80</v>
      </c>
      <c r="G29" s="12" t="str">
        <f t="shared" si="0"/>
        <v/>
      </c>
    </row>
    <row r="30" spans="2:11" x14ac:dyDescent="0.25">
      <c r="E30" s="1" t="s">
        <v>56</v>
      </c>
      <c r="F30" s="10" t="s">
        <v>80</v>
      </c>
      <c r="G30" s="12" t="str">
        <f t="shared" si="0"/>
        <v/>
      </c>
    </row>
    <row r="31" spans="2:11" x14ac:dyDescent="0.25">
      <c r="E31" s="1" t="s">
        <v>74</v>
      </c>
      <c r="F31" s="10" t="s">
        <v>80</v>
      </c>
      <c r="G31" s="12" t="str">
        <f t="shared" si="0"/>
        <v>1st Four</v>
      </c>
    </row>
    <row r="32" spans="2:11" x14ac:dyDescent="0.25">
      <c r="E32" s="1" t="s">
        <v>42</v>
      </c>
      <c r="F32" s="10" t="s">
        <v>80</v>
      </c>
      <c r="G32" s="12" t="str">
        <f t="shared" si="0"/>
        <v/>
      </c>
    </row>
    <row r="33" spans="5:7" x14ac:dyDescent="0.25">
      <c r="E33" s="1" t="s">
        <v>12</v>
      </c>
      <c r="F33" s="10" t="s">
        <v>80</v>
      </c>
      <c r="G33" s="12" t="str">
        <f t="shared" si="0"/>
        <v/>
      </c>
    </row>
    <row r="34" spans="5:7" x14ac:dyDescent="0.25">
      <c r="E34" s="1" t="s">
        <v>55</v>
      </c>
      <c r="F34" s="10" t="s">
        <v>80</v>
      </c>
      <c r="G34" s="12" t="str">
        <f t="shared" si="0"/>
        <v/>
      </c>
    </row>
    <row r="35" spans="5:7" x14ac:dyDescent="0.25">
      <c r="E35" s="1" t="s">
        <v>45</v>
      </c>
      <c r="F35" s="10" t="s">
        <v>80</v>
      </c>
      <c r="G35" s="12" t="str">
        <f t="shared" si="0"/>
        <v/>
      </c>
    </row>
    <row r="36" spans="5:7" x14ac:dyDescent="0.25">
      <c r="E36" s="1" t="s">
        <v>18</v>
      </c>
      <c r="F36" s="10" t="s">
        <v>80</v>
      </c>
      <c r="G36" s="12" t="str">
        <f t="shared" si="0"/>
        <v/>
      </c>
    </row>
    <row r="37" spans="5:7" x14ac:dyDescent="0.25">
      <c r="E37" s="1" t="s">
        <v>70</v>
      </c>
      <c r="F37" s="10" t="s">
        <v>80</v>
      </c>
      <c r="G37" s="12" t="str">
        <f t="shared" si="0"/>
        <v/>
      </c>
    </row>
    <row r="38" spans="5:7" x14ac:dyDescent="0.25">
      <c r="E38" s="1" t="s">
        <v>73</v>
      </c>
      <c r="F38" s="10" t="s">
        <v>80</v>
      </c>
      <c r="G38" s="12" t="str">
        <f t="shared" si="0"/>
        <v>1st Four</v>
      </c>
    </row>
    <row r="39" spans="5:7" x14ac:dyDescent="0.25">
      <c r="E39" s="1" t="s">
        <v>44</v>
      </c>
      <c r="F39" s="10" t="s">
        <v>80</v>
      </c>
      <c r="G39" s="12" t="str">
        <f t="shared" si="0"/>
        <v/>
      </c>
    </row>
    <row r="40" spans="5:7" x14ac:dyDescent="0.25">
      <c r="E40" s="1" t="s">
        <v>57</v>
      </c>
      <c r="F40" s="10" t="s">
        <v>80</v>
      </c>
      <c r="G40" s="12" t="str">
        <f t="shared" si="0"/>
        <v/>
      </c>
    </row>
    <row r="41" spans="5:7" x14ac:dyDescent="0.25">
      <c r="E41" s="1" t="s">
        <v>30</v>
      </c>
      <c r="F41" s="10" t="s">
        <v>80</v>
      </c>
      <c r="G41" s="12" t="str">
        <f t="shared" si="0"/>
        <v/>
      </c>
    </row>
    <row r="42" spans="5:7" x14ac:dyDescent="0.25">
      <c r="E42" s="1" t="s">
        <v>29</v>
      </c>
      <c r="F42" s="10" t="s">
        <v>80</v>
      </c>
      <c r="G42" s="12" t="str">
        <f t="shared" si="0"/>
        <v/>
      </c>
    </row>
    <row r="43" spans="5:7" x14ac:dyDescent="0.25">
      <c r="E43" s="1" t="s">
        <v>21</v>
      </c>
      <c r="F43" s="10" t="s">
        <v>80</v>
      </c>
      <c r="G43" s="12" t="str">
        <f t="shared" si="0"/>
        <v/>
      </c>
    </row>
    <row r="44" spans="5:7" x14ac:dyDescent="0.25">
      <c r="E44" s="1" t="s">
        <v>22</v>
      </c>
      <c r="F44" s="10" t="s">
        <v>80</v>
      </c>
      <c r="G44" s="12" t="str">
        <f t="shared" si="0"/>
        <v/>
      </c>
    </row>
    <row r="45" spans="5:7" x14ac:dyDescent="0.25">
      <c r="E45" s="1" t="s">
        <v>32</v>
      </c>
      <c r="F45" s="10" t="s">
        <v>80</v>
      </c>
      <c r="G45" s="12" t="str">
        <f t="shared" si="0"/>
        <v>1st Four</v>
      </c>
    </row>
    <row r="46" spans="5:7" x14ac:dyDescent="0.25">
      <c r="E46" s="1" t="s">
        <v>23</v>
      </c>
      <c r="F46" s="10" t="s">
        <v>80</v>
      </c>
      <c r="G46" s="12" t="str">
        <f t="shared" si="0"/>
        <v/>
      </c>
    </row>
    <row r="47" spans="5:7" x14ac:dyDescent="0.25">
      <c r="E47" s="1" t="s">
        <v>59</v>
      </c>
      <c r="F47" s="10" t="s">
        <v>80</v>
      </c>
      <c r="G47" s="12" t="str">
        <f t="shared" si="0"/>
        <v/>
      </c>
    </row>
    <row r="48" spans="5:7" x14ac:dyDescent="0.25">
      <c r="E48" s="1" t="s">
        <v>40</v>
      </c>
      <c r="F48" s="10" t="s">
        <v>80</v>
      </c>
      <c r="G48" s="12" t="str">
        <f t="shared" si="0"/>
        <v/>
      </c>
    </row>
    <row r="49" spans="5:7" x14ac:dyDescent="0.25">
      <c r="E49" s="1" t="s">
        <v>62</v>
      </c>
      <c r="F49" s="10" t="s">
        <v>80</v>
      </c>
      <c r="G49" s="12" t="str">
        <f t="shared" si="0"/>
        <v>1st Four</v>
      </c>
    </row>
    <row r="50" spans="5:7" x14ac:dyDescent="0.25">
      <c r="E50" s="1" t="s">
        <v>63</v>
      </c>
      <c r="F50" s="10" t="s">
        <v>80</v>
      </c>
      <c r="G50" s="12" t="str">
        <f t="shared" si="0"/>
        <v/>
      </c>
    </row>
    <row r="51" spans="5:7" x14ac:dyDescent="0.25">
      <c r="E51" s="1" t="s">
        <v>65</v>
      </c>
      <c r="F51" s="10" t="s">
        <v>80</v>
      </c>
      <c r="G51" s="12" t="str">
        <f t="shared" si="0"/>
        <v/>
      </c>
    </row>
    <row r="52" spans="5:7" x14ac:dyDescent="0.25">
      <c r="E52" s="1" t="s">
        <v>67</v>
      </c>
      <c r="F52" s="10" t="s">
        <v>80</v>
      </c>
      <c r="G52" s="12" t="str">
        <f t="shared" si="0"/>
        <v/>
      </c>
    </row>
    <row r="53" spans="5:7" x14ac:dyDescent="0.25">
      <c r="E53" s="1" t="s">
        <v>17</v>
      </c>
      <c r="F53" s="10" t="s">
        <v>80</v>
      </c>
      <c r="G53" s="12" t="str">
        <f t="shared" si="0"/>
        <v/>
      </c>
    </row>
    <row r="54" spans="5:7" x14ac:dyDescent="0.25">
      <c r="E54" s="1" t="s">
        <v>20</v>
      </c>
      <c r="F54" s="10" t="s">
        <v>80</v>
      </c>
      <c r="G54" s="12" t="str">
        <f t="shared" si="0"/>
        <v/>
      </c>
    </row>
    <row r="55" spans="5:7" x14ac:dyDescent="0.25">
      <c r="E55" s="1" t="s">
        <v>53</v>
      </c>
      <c r="F55" s="10" t="s">
        <v>80</v>
      </c>
      <c r="G55" s="12" t="str">
        <f t="shared" si="0"/>
        <v/>
      </c>
    </row>
    <row r="56" spans="5:7" x14ac:dyDescent="0.25">
      <c r="E56" s="1" t="s">
        <v>68</v>
      </c>
      <c r="F56" s="10" t="s">
        <v>80</v>
      </c>
      <c r="G56" s="12" t="str">
        <f t="shared" si="0"/>
        <v/>
      </c>
    </row>
    <row r="57" spans="5:7" x14ac:dyDescent="0.25">
      <c r="E57" s="1" t="s">
        <v>24</v>
      </c>
      <c r="F57" s="10" t="s">
        <v>80</v>
      </c>
      <c r="G57" s="12" t="str">
        <f t="shared" si="0"/>
        <v/>
      </c>
    </row>
    <row r="58" spans="5:7" x14ac:dyDescent="0.25">
      <c r="E58" s="1" t="s">
        <v>76</v>
      </c>
      <c r="F58" s="10" t="s">
        <v>80</v>
      </c>
      <c r="G58" s="12" t="str">
        <f t="shared" si="0"/>
        <v/>
      </c>
    </row>
    <row r="59" spans="5:7" x14ac:dyDescent="0.25">
      <c r="E59" s="1" t="s">
        <v>64</v>
      </c>
      <c r="F59" s="10" t="s">
        <v>80</v>
      </c>
      <c r="G59" s="12" t="str">
        <f t="shared" si="0"/>
        <v/>
      </c>
    </row>
    <row r="60" spans="5:7" x14ac:dyDescent="0.25">
      <c r="E60" s="1" t="s">
        <v>43</v>
      </c>
      <c r="F60" s="10" t="s">
        <v>80</v>
      </c>
      <c r="G60" s="12" t="str">
        <f t="shared" si="0"/>
        <v/>
      </c>
    </row>
    <row r="61" spans="5:7" x14ac:dyDescent="0.25">
      <c r="E61" s="1" t="s">
        <v>52</v>
      </c>
      <c r="F61" s="10" t="s">
        <v>80</v>
      </c>
      <c r="G61" s="12" t="str">
        <f t="shared" si="0"/>
        <v/>
      </c>
    </row>
    <row r="62" spans="5:7" x14ac:dyDescent="0.25">
      <c r="E62" s="1" t="s">
        <v>33</v>
      </c>
      <c r="F62" s="10" t="s">
        <v>80</v>
      </c>
      <c r="G62" s="12" t="str">
        <f t="shared" si="0"/>
        <v/>
      </c>
    </row>
    <row r="63" spans="5:7" x14ac:dyDescent="0.25">
      <c r="E63" s="1" t="s">
        <v>27</v>
      </c>
      <c r="F63" s="10" t="s">
        <v>80</v>
      </c>
      <c r="G63" s="12" t="str">
        <f t="shared" si="0"/>
        <v/>
      </c>
    </row>
    <row r="64" spans="5:7" x14ac:dyDescent="0.25">
      <c r="E64" s="1" t="s">
        <v>41</v>
      </c>
      <c r="F64" s="10" t="s">
        <v>80</v>
      </c>
      <c r="G64" s="12" t="str">
        <f t="shared" si="0"/>
        <v/>
      </c>
    </row>
    <row r="65" spans="5:7" x14ac:dyDescent="0.25">
      <c r="E65" s="1" t="s">
        <v>37</v>
      </c>
      <c r="F65" s="10" t="s">
        <v>80</v>
      </c>
      <c r="G65" s="12" t="str">
        <f t="shared" si="0"/>
        <v/>
      </c>
    </row>
    <row r="66" spans="5:7" x14ac:dyDescent="0.25">
      <c r="E66" s="1" t="s">
        <v>13</v>
      </c>
      <c r="F66" s="10" t="s">
        <v>80</v>
      </c>
      <c r="G66" s="12" t="str">
        <f t="shared" si="0"/>
        <v/>
      </c>
    </row>
    <row r="67" spans="5:7" x14ac:dyDescent="0.25">
      <c r="E67" s="1" t="s">
        <v>48</v>
      </c>
      <c r="F67" s="10" t="s">
        <v>80</v>
      </c>
      <c r="G67" s="12" t="str">
        <f t="shared" ref="G67:G69" si="1">IF(E67=$B$11,"1st Four", IF(E67=$B$12,"1st Four", IF(E67=$B$13,"1st Four", IF(E67=$B$14,"1st Four", IF(E67=$B$15,"1st Four", IF(E67=$B$16,"1st Four",IF(E67=$B$17,"1st Four", IF(E67=$B$18,"1st Four",""))))))))</f>
        <v/>
      </c>
    </row>
    <row r="68" spans="5:7" x14ac:dyDescent="0.25">
      <c r="E68" s="1" t="s">
        <v>58</v>
      </c>
      <c r="F68" s="10" t="s">
        <v>80</v>
      </c>
      <c r="G68" s="12" t="str">
        <f t="shared" si="1"/>
        <v/>
      </c>
    </row>
    <row r="69" spans="5:7" x14ac:dyDescent="0.25">
      <c r="E69" s="1" t="s">
        <v>50</v>
      </c>
      <c r="F69" s="10" t="s">
        <v>80</v>
      </c>
      <c r="G69" s="12" t="str">
        <f t="shared" si="1"/>
        <v/>
      </c>
    </row>
  </sheetData>
  <sheetProtection password="CC28" sheet="1" objects="1" scenarios="1"/>
  <sortState ref="B11:B18">
    <sortCondition ref="B11"/>
  </sortState>
  <dataValidations count="1">
    <dataValidation type="list" allowBlank="1" showInputMessage="1" showErrorMessage="1" sqref="F2:F69">
      <formula1>$V$4:$V$12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1"/>
  <sheetViews>
    <sheetView workbookViewId="0">
      <selection activeCell="B1" sqref="B1:C1048576"/>
    </sheetView>
  </sheetViews>
  <sheetFormatPr defaultRowHeight="15" x14ac:dyDescent="0.25"/>
  <cols>
    <col min="1" max="1" width="9.140625" style="2"/>
    <col min="4" max="16384" width="9.140625" style="2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81"/>
  <sheetViews>
    <sheetView workbookViewId="0">
      <pane ySplit="1" topLeftCell="A2" activePane="bottomLeft" state="frozen"/>
      <selection pane="bottomLeft" activeCell="C2" sqref="C2"/>
    </sheetView>
  </sheetViews>
  <sheetFormatPr defaultColWidth="19.42578125" defaultRowHeight="15" x14ac:dyDescent="0.25"/>
  <cols>
    <col min="1" max="1" width="19.42578125" style="16"/>
    <col min="2" max="3" width="19.42578125" style="6"/>
    <col min="4" max="4" width="19.42578125" style="2" hidden="1" customWidth="1"/>
    <col min="5" max="11" width="19.42578125" style="6" hidden="1" customWidth="1"/>
    <col min="12" max="13" width="19.42578125" style="2" hidden="1" customWidth="1"/>
    <col min="14" max="15" width="13" style="2" customWidth="1"/>
    <col min="16" max="16384" width="19.42578125" style="2"/>
  </cols>
  <sheetData>
    <row r="1" spans="1:12" x14ac:dyDescent="0.25">
      <c r="B1" s="3" t="s">
        <v>1</v>
      </c>
      <c r="C1" s="3" t="s">
        <v>0</v>
      </c>
      <c r="F1" s="6" t="s">
        <v>2</v>
      </c>
      <c r="G1" s="6" t="s">
        <v>3</v>
      </c>
      <c r="H1" s="6" t="s">
        <v>4</v>
      </c>
      <c r="I1" s="6" t="s">
        <v>5</v>
      </c>
      <c r="J1" s="6" t="s">
        <v>6</v>
      </c>
      <c r="K1" s="6" t="s">
        <v>7</v>
      </c>
      <c r="L1" s="6" t="s">
        <v>8</v>
      </c>
    </row>
    <row r="2" spans="1:12" x14ac:dyDescent="0.25">
      <c r="B2" s="8"/>
      <c r="C2" s="8" t="s">
        <v>60</v>
      </c>
      <c r="D2" s="6" t="str">
        <f>VLOOKUP(C2,Results!$E$2:$G$69,3,FALSE)</f>
        <v/>
      </c>
      <c r="E2" s="7" t="str">
        <f>VLOOKUP($C2,Results!$E$2:$M$69,2,FALSE)</f>
        <v>Select</v>
      </c>
      <c r="F2" s="15" t="str">
        <f>IF($E2="Lost First Four", "", IF(D2="1st Four",$B2,""))</f>
        <v/>
      </c>
      <c r="G2" s="15">
        <f>IF($E2="Lost First Four", "", IF($E2="Lost 2nd Round", "", $B2))</f>
        <v>0</v>
      </c>
      <c r="H2" s="15">
        <f>IF($E2="Lost First Four", "", IF($E2="Lost 2nd Round", "", IF($E2="Lost 3rd Round", "", $B2)))</f>
        <v>0</v>
      </c>
      <c r="I2" s="15">
        <f>IF($E2="Lost First Four", "", IF($E2="Lost 2nd Round", "", IF($E2="Lost 3rd Round", "", IF($E2="Lost 4th Round", "", $B2))))</f>
        <v>0</v>
      </c>
      <c r="J2" s="15">
        <f>IF($E2="Lost First Four", "", IF($E2="Lost 2nd Round", "", IF($E2="Lost 3rd Round", "", IF($E2="Lost 4th Round", "", IF($E2="Lost 5th Round", "", $B2)))))</f>
        <v>0</v>
      </c>
      <c r="K2" s="15">
        <f>IF($E2="Lost First Four", "", IF($E2="Lost 2nd Round", "", IF($E2="Lost 3rd Round", "", IF($E2="Lost 4th Round", "", IF($E2="Lost 5th Round", "", IF($E2="Lost Final Four", "", $B2))))))</f>
        <v>0</v>
      </c>
      <c r="L2" s="15">
        <f>IF($E2="Lost First Four", "", IF($E2="Lost 2nd Round", "", IF($E2="Lost 3rd Round", "", IF($E2="Lost 4th Round", "", IF($E2="Lost 5th Round", "", IF($E2="Lost Final Four", "", IF($E2="Lost Championship", "", $B2)))))))</f>
        <v>0</v>
      </c>
    </row>
    <row r="3" spans="1:12" x14ac:dyDescent="0.25">
      <c r="A3" s="16" t="str">
        <f>IF(B3="","", IF(B3=B2,"Duplicate",IF(B3&gt;(B2+1),"Missing","")))</f>
        <v/>
      </c>
      <c r="B3" s="8"/>
      <c r="C3" s="8" t="s">
        <v>25</v>
      </c>
      <c r="D3" s="6" t="str">
        <f>VLOOKUP(C3,Results!$E$2:$G$69,3,FALSE)</f>
        <v/>
      </c>
      <c r="E3" s="7" t="str">
        <f>VLOOKUP($C3,Results!$E$2:$M$69,2,FALSE)</f>
        <v>Select</v>
      </c>
      <c r="F3" s="15" t="str">
        <f t="shared" ref="F3:F66" si="0">IF($E3="Lost First Four", "", IF(D3="1st Four",$B3,""))</f>
        <v/>
      </c>
      <c r="G3" s="15">
        <f t="shared" ref="G3:G66" si="1">IF($E3="Lost First Four", "", IF($E3="Lost 2nd Round", "", $B3))</f>
        <v>0</v>
      </c>
      <c r="H3" s="15">
        <f t="shared" ref="H3:H66" si="2">IF($E3="Lost First Four", "", IF($E3="Lost 2nd Round", "", IF($E3="Lost 3rd Round", "", $B3)))</f>
        <v>0</v>
      </c>
      <c r="I3" s="15">
        <f t="shared" ref="I3:I66" si="3">IF($E3="Lost First Four", "", IF($E3="Lost 2nd Round", "", IF($E3="Lost 3rd Round", "", IF($E3="Lost 4th Round", "", $B3))))</f>
        <v>0</v>
      </c>
      <c r="J3" s="15">
        <f t="shared" ref="J3:J66" si="4">IF($E3="Lost First Four", "", IF($E3="Lost 2nd Round", "", IF($E3="Lost 3rd Round", "", IF($E3="Lost 4th Round", "", IF($E3="Lost 5th Round", "", $B3)))))</f>
        <v>0</v>
      </c>
      <c r="K3" s="15">
        <f t="shared" ref="K3:K66" si="5">IF($E3="Lost First Four", "", IF($E3="Lost 2nd Round", "", IF($E3="Lost 3rd Round", "", IF($E3="Lost 4th Round", "", IF($E3="Lost 5th Round", "", IF($E3="Lost Final Four", "", $B3))))))</f>
        <v>0</v>
      </c>
      <c r="L3" s="15">
        <f t="shared" ref="L3:L66" si="6">IF($E3="Lost First Four", "", IF($E3="Lost 2nd Round", "", IF($E3="Lost 3rd Round", "", IF($E3="Lost 4th Round", "", IF($E3="Lost 5th Round", "", IF($E3="Lost Final Four", "", IF($E3="Lost Championship", "", $B3)))))))</f>
        <v>0</v>
      </c>
    </row>
    <row r="4" spans="1:12" x14ac:dyDescent="0.25">
      <c r="A4" s="16" t="str">
        <f t="shared" ref="A4:A67" si="7">IF(B4="","", IF(B4=B3,"Duplicate",IF(B4&gt;(B3+1),"Missing","")))</f>
        <v/>
      </c>
      <c r="B4" s="8"/>
      <c r="C4" s="8" t="s">
        <v>47</v>
      </c>
      <c r="D4" s="6" t="str">
        <f>VLOOKUP(C4,Results!$E$2:$G$69,3,FALSE)</f>
        <v/>
      </c>
      <c r="E4" s="7" t="str">
        <f>VLOOKUP($C4,Results!$E$2:$M$69,2,FALSE)</f>
        <v>Select</v>
      </c>
      <c r="F4" s="15" t="str">
        <f t="shared" si="0"/>
        <v/>
      </c>
      <c r="G4" s="15">
        <f t="shared" si="1"/>
        <v>0</v>
      </c>
      <c r="H4" s="15">
        <f t="shared" si="2"/>
        <v>0</v>
      </c>
      <c r="I4" s="15">
        <f t="shared" si="3"/>
        <v>0</v>
      </c>
      <c r="J4" s="15">
        <f t="shared" si="4"/>
        <v>0</v>
      </c>
      <c r="K4" s="15">
        <f t="shared" si="5"/>
        <v>0</v>
      </c>
      <c r="L4" s="15">
        <f t="shared" si="6"/>
        <v>0</v>
      </c>
    </row>
    <row r="5" spans="1:12" x14ac:dyDescent="0.25">
      <c r="A5" s="16" t="str">
        <f t="shared" si="7"/>
        <v/>
      </c>
      <c r="B5" s="8"/>
      <c r="C5" s="8" t="s">
        <v>51</v>
      </c>
      <c r="D5" s="6" t="str">
        <f>VLOOKUP(C5,Results!$E$2:$G$69,3,FALSE)</f>
        <v/>
      </c>
      <c r="E5" s="7" t="str">
        <f>VLOOKUP($C5,Results!$E$2:$M$69,2,FALSE)</f>
        <v>Select</v>
      </c>
      <c r="F5" s="15" t="str">
        <f t="shared" si="0"/>
        <v/>
      </c>
      <c r="G5" s="15">
        <f t="shared" si="1"/>
        <v>0</v>
      </c>
      <c r="H5" s="15">
        <f t="shared" si="2"/>
        <v>0</v>
      </c>
      <c r="I5" s="15">
        <f t="shared" si="3"/>
        <v>0</v>
      </c>
      <c r="J5" s="15">
        <f t="shared" si="4"/>
        <v>0</v>
      </c>
      <c r="K5" s="15">
        <f t="shared" si="5"/>
        <v>0</v>
      </c>
      <c r="L5" s="15">
        <f t="shared" si="6"/>
        <v>0</v>
      </c>
    </row>
    <row r="6" spans="1:12" x14ac:dyDescent="0.25">
      <c r="A6" s="16" t="str">
        <f t="shared" si="7"/>
        <v/>
      </c>
      <c r="B6" s="8"/>
      <c r="C6" s="8" t="s">
        <v>61</v>
      </c>
      <c r="D6" s="6" t="str">
        <f>VLOOKUP(C6,Results!$E$2:$G$69,3,FALSE)</f>
        <v/>
      </c>
      <c r="E6" s="7" t="str">
        <f>VLOOKUP($C6,Results!$E$2:$M$69,2,FALSE)</f>
        <v>Select</v>
      </c>
      <c r="F6" s="15" t="str">
        <f t="shared" si="0"/>
        <v/>
      </c>
      <c r="G6" s="15">
        <f t="shared" si="1"/>
        <v>0</v>
      </c>
      <c r="H6" s="15">
        <f t="shared" si="2"/>
        <v>0</v>
      </c>
      <c r="I6" s="15">
        <f t="shared" si="3"/>
        <v>0</v>
      </c>
      <c r="J6" s="15">
        <f t="shared" si="4"/>
        <v>0</v>
      </c>
      <c r="K6" s="15">
        <f t="shared" si="5"/>
        <v>0</v>
      </c>
      <c r="L6" s="15">
        <f t="shared" si="6"/>
        <v>0</v>
      </c>
    </row>
    <row r="7" spans="1:12" x14ac:dyDescent="0.25">
      <c r="A7" s="16" t="str">
        <f t="shared" si="7"/>
        <v/>
      </c>
      <c r="B7" s="8"/>
      <c r="C7" s="8" t="s">
        <v>72</v>
      </c>
      <c r="D7" s="6" t="str">
        <f>VLOOKUP(C7,Results!$E$2:$G$69,3,FALSE)</f>
        <v>1st Four</v>
      </c>
      <c r="E7" s="7" t="str">
        <f>VLOOKUP($C7,Results!$E$2:$M$69,2,FALSE)</f>
        <v>Select</v>
      </c>
      <c r="F7" s="15">
        <f t="shared" si="0"/>
        <v>0</v>
      </c>
      <c r="G7" s="15">
        <f t="shared" si="1"/>
        <v>0</v>
      </c>
      <c r="H7" s="15">
        <f t="shared" si="2"/>
        <v>0</v>
      </c>
      <c r="I7" s="15">
        <f t="shared" si="3"/>
        <v>0</v>
      </c>
      <c r="J7" s="15">
        <f t="shared" si="4"/>
        <v>0</v>
      </c>
      <c r="K7" s="15">
        <f t="shared" si="5"/>
        <v>0</v>
      </c>
      <c r="L7" s="15">
        <f t="shared" si="6"/>
        <v>0</v>
      </c>
    </row>
    <row r="8" spans="1:12" x14ac:dyDescent="0.25">
      <c r="A8" s="16" t="str">
        <f t="shared" si="7"/>
        <v/>
      </c>
      <c r="B8" s="8"/>
      <c r="C8" s="8" t="s">
        <v>16</v>
      </c>
      <c r="D8" s="6" t="str">
        <f>VLOOKUP(C8,Results!$E$2:$G$69,3,FALSE)</f>
        <v/>
      </c>
      <c r="E8" s="7" t="str">
        <f>VLOOKUP($C8,Results!$E$2:$M$69,2,FALSE)</f>
        <v>Select</v>
      </c>
      <c r="F8" s="15" t="str">
        <f t="shared" si="0"/>
        <v/>
      </c>
      <c r="G8" s="15">
        <f t="shared" si="1"/>
        <v>0</v>
      </c>
      <c r="H8" s="15">
        <f t="shared" si="2"/>
        <v>0</v>
      </c>
      <c r="I8" s="15">
        <f t="shared" si="3"/>
        <v>0</v>
      </c>
      <c r="J8" s="15">
        <f t="shared" si="4"/>
        <v>0</v>
      </c>
      <c r="K8" s="15">
        <f t="shared" si="5"/>
        <v>0</v>
      </c>
      <c r="L8" s="15">
        <f t="shared" si="6"/>
        <v>0</v>
      </c>
    </row>
    <row r="9" spans="1:12" x14ac:dyDescent="0.25">
      <c r="A9" s="16" t="str">
        <f t="shared" si="7"/>
        <v/>
      </c>
      <c r="B9" s="8"/>
      <c r="C9" s="8" t="s">
        <v>14</v>
      </c>
      <c r="D9" s="6" t="str">
        <f>VLOOKUP(C9,Results!$E$2:$G$69,3,FALSE)</f>
        <v/>
      </c>
      <c r="E9" s="7" t="str">
        <f>VLOOKUP($C9,Results!$E$2:$M$69,2,FALSE)</f>
        <v>Select</v>
      </c>
      <c r="F9" s="15" t="str">
        <f t="shared" si="0"/>
        <v/>
      </c>
      <c r="G9" s="15">
        <f t="shared" si="1"/>
        <v>0</v>
      </c>
      <c r="H9" s="15">
        <f t="shared" si="2"/>
        <v>0</v>
      </c>
      <c r="I9" s="15">
        <f t="shared" si="3"/>
        <v>0</v>
      </c>
      <c r="J9" s="15">
        <f t="shared" si="4"/>
        <v>0</v>
      </c>
      <c r="K9" s="15">
        <f t="shared" si="5"/>
        <v>0</v>
      </c>
      <c r="L9" s="15">
        <f t="shared" si="6"/>
        <v>0</v>
      </c>
    </row>
    <row r="10" spans="1:12" x14ac:dyDescent="0.25">
      <c r="A10" s="16" t="str">
        <f t="shared" si="7"/>
        <v/>
      </c>
      <c r="B10" s="8"/>
      <c r="C10" s="8" t="s">
        <v>75</v>
      </c>
      <c r="D10" s="6" t="str">
        <f>VLOOKUP(C10,Results!$E$2:$G$69,3,FALSE)</f>
        <v>1st Four</v>
      </c>
      <c r="E10" s="7" t="str">
        <f>VLOOKUP($C10,Results!$E$2:$M$69,2,FALSE)</f>
        <v>Select</v>
      </c>
      <c r="F10" s="15">
        <f t="shared" si="0"/>
        <v>0</v>
      </c>
      <c r="G10" s="15">
        <f t="shared" si="1"/>
        <v>0</v>
      </c>
      <c r="H10" s="15">
        <f t="shared" si="2"/>
        <v>0</v>
      </c>
      <c r="I10" s="15">
        <f t="shared" si="3"/>
        <v>0</v>
      </c>
      <c r="J10" s="15">
        <f t="shared" si="4"/>
        <v>0</v>
      </c>
      <c r="K10" s="15">
        <f t="shared" si="5"/>
        <v>0</v>
      </c>
      <c r="L10" s="15">
        <f t="shared" si="6"/>
        <v>0</v>
      </c>
    </row>
    <row r="11" spans="1:12" x14ac:dyDescent="0.25">
      <c r="A11" s="16" t="str">
        <f t="shared" si="7"/>
        <v/>
      </c>
      <c r="B11" s="8"/>
      <c r="C11" s="8" t="s">
        <v>39</v>
      </c>
      <c r="D11" s="6" t="str">
        <f>VLOOKUP(C11,Results!$E$2:$G$69,3,FALSE)</f>
        <v/>
      </c>
      <c r="E11" s="7" t="str">
        <f>VLOOKUP($C11,Results!$E$2:$M$69,2,FALSE)</f>
        <v>Select</v>
      </c>
      <c r="F11" s="15" t="str">
        <f t="shared" si="0"/>
        <v/>
      </c>
      <c r="G11" s="15">
        <f t="shared" si="1"/>
        <v>0</v>
      </c>
      <c r="H11" s="15">
        <f t="shared" si="2"/>
        <v>0</v>
      </c>
      <c r="I11" s="15">
        <f t="shared" si="3"/>
        <v>0</v>
      </c>
      <c r="J11" s="15">
        <f t="shared" si="4"/>
        <v>0</v>
      </c>
      <c r="K11" s="15">
        <f t="shared" si="5"/>
        <v>0</v>
      </c>
      <c r="L11" s="15">
        <f t="shared" si="6"/>
        <v>0</v>
      </c>
    </row>
    <row r="12" spans="1:12" x14ac:dyDescent="0.25">
      <c r="A12" s="16" t="str">
        <f t="shared" si="7"/>
        <v/>
      </c>
      <c r="B12" s="8"/>
      <c r="C12" s="8" t="s">
        <v>46</v>
      </c>
      <c r="D12" s="6" t="str">
        <f>VLOOKUP(C12,Results!$E$2:$G$69,3,FALSE)</f>
        <v/>
      </c>
      <c r="E12" s="7" t="str">
        <f>VLOOKUP($C12,Results!$E$2:$M$69,2,FALSE)</f>
        <v>Select</v>
      </c>
      <c r="F12" s="15" t="str">
        <f t="shared" si="0"/>
        <v/>
      </c>
      <c r="G12" s="15">
        <f t="shared" si="1"/>
        <v>0</v>
      </c>
      <c r="H12" s="15">
        <f t="shared" si="2"/>
        <v>0</v>
      </c>
      <c r="I12" s="15">
        <f t="shared" si="3"/>
        <v>0</v>
      </c>
      <c r="J12" s="15">
        <f t="shared" si="4"/>
        <v>0</v>
      </c>
      <c r="K12" s="15">
        <f t="shared" si="5"/>
        <v>0</v>
      </c>
      <c r="L12" s="15">
        <f t="shared" si="6"/>
        <v>0</v>
      </c>
    </row>
    <row r="13" spans="1:12" x14ac:dyDescent="0.25">
      <c r="A13" s="16" t="str">
        <f t="shared" si="7"/>
        <v/>
      </c>
      <c r="B13" s="8"/>
      <c r="C13" s="8" t="s">
        <v>69</v>
      </c>
      <c r="D13" s="6" t="str">
        <f>VLOOKUP(C13,Results!$E$2:$G$69,3,FALSE)</f>
        <v/>
      </c>
      <c r="E13" s="7" t="str">
        <f>VLOOKUP($C13,Results!$E$2:$M$69,2,FALSE)</f>
        <v>Select</v>
      </c>
      <c r="F13" s="15" t="str">
        <f t="shared" si="0"/>
        <v/>
      </c>
      <c r="G13" s="15">
        <f t="shared" si="1"/>
        <v>0</v>
      </c>
      <c r="H13" s="15">
        <f t="shared" si="2"/>
        <v>0</v>
      </c>
      <c r="I13" s="15">
        <f t="shared" si="3"/>
        <v>0</v>
      </c>
      <c r="J13" s="15">
        <f t="shared" si="4"/>
        <v>0</v>
      </c>
      <c r="K13" s="15">
        <f t="shared" si="5"/>
        <v>0</v>
      </c>
      <c r="L13" s="15">
        <f t="shared" si="6"/>
        <v>0</v>
      </c>
    </row>
    <row r="14" spans="1:12" x14ac:dyDescent="0.25">
      <c r="A14" s="16" t="str">
        <f t="shared" si="7"/>
        <v/>
      </c>
      <c r="B14" s="8"/>
      <c r="C14" s="8" t="s">
        <v>34</v>
      </c>
      <c r="D14" s="6" t="str">
        <f>VLOOKUP(C14,Results!$E$2:$G$69,3,FALSE)</f>
        <v>1st Four</v>
      </c>
      <c r="E14" s="7" t="str">
        <f>VLOOKUP($C14,Results!$E$2:$M$69,2,FALSE)</f>
        <v>Select</v>
      </c>
      <c r="F14" s="15">
        <f t="shared" si="0"/>
        <v>0</v>
      </c>
      <c r="G14" s="15">
        <f t="shared" si="1"/>
        <v>0</v>
      </c>
      <c r="H14" s="15">
        <f t="shared" si="2"/>
        <v>0</v>
      </c>
      <c r="I14" s="15">
        <f t="shared" si="3"/>
        <v>0</v>
      </c>
      <c r="J14" s="15">
        <f t="shared" si="4"/>
        <v>0</v>
      </c>
      <c r="K14" s="15">
        <f t="shared" si="5"/>
        <v>0</v>
      </c>
      <c r="L14" s="15">
        <f t="shared" si="6"/>
        <v>0</v>
      </c>
    </row>
    <row r="15" spans="1:12" x14ac:dyDescent="0.25">
      <c r="A15" s="16" t="str">
        <f t="shared" si="7"/>
        <v/>
      </c>
      <c r="B15" s="8"/>
      <c r="C15" s="8" t="s">
        <v>10</v>
      </c>
      <c r="D15" s="6" t="str">
        <f>VLOOKUP(C15,Results!$E$2:$G$69,3,FALSE)</f>
        <v/>
      </c>
      <c r="E15" s="7" t="str">
        <f>VLOOKUP($C15,Results!$E$2:$M$69,2,FALSE)</f>
        <v>Select</v>
      </c>
      <c r="F15" s="15" t="str">
        <f t="shared" si="0"/>
        <v/>
      </c>
      <c r="G15" s="15">
        <f t="shared" si="1"/>
        <v>0</v>
      </c>
      <c r="H15" s="15">
        <f t="shared" si="2"/>
        <v>0</v>
      </c>
      <c r="I15" s="15">
        <f t="shared" si="3"/>
        <v>0</v>
      </c>
      <c r="J15" s="15">
        <f t="shared" si="4"/>
        <v>0</v>
      </c>
      <c r="K15" s="15">
        <f t="shared" si="5"/>
        <v>0</v>
      </c>
      <c r="L15" s="15">
        <f t="shared" si="6"/>
        <v>0</v>
      </c>
    </row>
    <row r="16" spans="1:12" x14ac:dyDescent="0.25">
      <c r="A16" s="16" t="str">
        <f t="shared" si="7"/>
        <v/>
      </c>
      <c r="B16" s="8"/>
      <c r="C16" s="8" t="s">
        <v>66</v>
      </c>
      <c r="D16" s="6" t="str">
        <f>VLOOKUP(C16,Results!$E$2:$G$69,3,FALSE)</f>
        <v/>
      </c>
      <c r="E16" s="7" t="str">
        <f>VLOOKUP($C16,Results!$E$2:$M$69,2,FALSE)</f>
        <v>Select</v>
      </c>
      <c r="F16" s="15" t="str">
        <f t="shared" si="0"/>
        <v/>
      </c>
      <c r="G16" s="15">
        <f t="shared" si="1"/>
        <v>0</v>
      </c>
      <c r="H16" s="15">
        <f t="shared" si="2"/>
        <v>0</v>
      </c>
      <c r="I16" s="15">
        <f t="shared" si="3"/>
        <v>0</v>
      </c>
      <c r="J16" s="15">
        <f t="shared" si="4"/>
        <v>0</v>
      </c>
      <c r="K16" s="15">
        <f t="shared" si="5"/>
        <v>0</v>
      </c>
      <c r="L16" s="15">
        <f t="shared" si="6"/>
        <v>0</v>
      </c>
    </row>
    <row r="17" spans="1:12" x14ac:dyDescent="0.25">
      <c r="A17" s="16" t="str">
        <f t="shared" si="7"/>
        <v/>
      </c>
      <c r="B17" s="8"/>
      <c r="C17" s="8" t="s">
        <v>71</v>
      </c>
      <c r="D17" s="6" t="str">
        <f>VLOOKUP(C17,Results!$E$2:$G$69,3,FALSE)</f>
        <v/>
      </c>
      <c r="E17" s="7" t="str">
        <f>VLOOKUP($C17,Results!$E$2:$M$69,2,FALSE)</f>
        <v>Select</v>
      </c>
      <c r="F17" s="15" t="str">
        <f t="shared" si="0"/>
        <v/>
      </c>
      <c r="G17" s="15">
        <f t="shared" si="1"/>
        <v>0</v>
      </c>
      <c r="H17" s="15">
        <f t="shared" si="2"/>
        <v>0</v>
      </c>
      <c r="I17" s="15">
        <f t="shared" si="3"/>
        <v>0</v>
      </c>
      <c r="J17" s="15">
        <f t="shared" si="4"/>
        <v>0</v>
      </c>
      <c r="K17" s="15">
        <f t="shared" si="5"/>
        <v>0</v>
      </c>
      <c r="L17" s="15">
        <f t="shared" si="6"/>
        <v>0</v>
      </c>
    </row>
    <row r="18" spans="1:12" x14ac:dyDescent="0.25">
      <c r="A18" s="16" t="str">
        <f t="shared" si="7"/>
        <v/>
      </c>
      <c r="B18" s="8"/>
      <c r="C18" s="8" t="s">
        <v>19</v>
      </c>
      <c r="D18" s="6" t="str">
        <f>VLOOKUP(C18,Results!$E$2:$G$69,3,FALSE)</f>
        <v/>
      </c>
      <c r="E18" s="7" t="str">
        <f>VLOOKUP($C18,Results!$E$2:$M$69,2,FALSE)</f>
        <v>Select</v>
      </c>
      <c r="F18" s="15" t="str">
        <f t="shared" si="0"/>
        <v/>
      </c>
      <c r="G18" s="15">
        <f t="shared" si="1"/>
        <v>0</v>
      </c>
      <c r="H18" s="15">
        <f t="shared" si="2"/>
        <v>0</v>
      </c>
      <c r="I18" s="15">
        <f t="shared" si="3"/>
        <v>0</v>
      </c>
      <c r="J18" s="15">
        <f t="shared" si="4"/>
        <v>0</v>
      </c>
      <c r="K18" s="15">
        <f t="shared" si="5"/>
        <v>0</v>
      </c>
      <c r="L18" s="15">
        <f t="shared" si="6"/>
        <v>0</v>
      </c>
    </row>
    <row r="19" spans="1:12" x14ac:dyDescent="0.25">
      <c r="A19" s="16" t="str">
        <f t="shared" si="7"/>
        <v/>
      </c>
      <c r="B19" s="8"/>
      <c r="C19" s="8" t="s">
        <v>31</v>
      </c>
      <c r="D19" s="6" t="str">
        <f>VLOOKUP(C19,Results!$E$2:$G$69,3,FALSE)</f>
        <v/>
      </c>
      <c r="E19" s="7" t="str">
        <f>VLOOKUP($C19,Results!$E$2:$M$69,2,FALSE)</f>
        <v>Select</v>
      </c>
      <c r="F19" s="15" t="str">
        <f t="shared" si="0"/>
        <v/>
      </c>
      <c r="G19" s="15">
        <f t="shared" si="1"/>
        <v>0</v>
      </c>
      <c r="H19" s="15">
        <f t="shared" si="2"/>
        <v>0</v>
      </c>
      <c r="I19" s="15">
        <f t="shared" si="3"/>
        <v>0</v>
      </c>
      <c r="J19" s="15">
        <f t="shared" si="4"/>
        <v>0</v>
      </c>
      <c r="K19" s="15">
        <f t="shared" si="5"/>
        <v>0</v>
      </c>
      <c r="L19" s="15">
        <f t="shared" si="6"/>
        <v>0</v>
      </c>
    </row>
    <row r="20" spans="1:12" x14ac:dyDescent="0.25">
      <c r="A20" s="16" t="str">
        <f t="shared" si="7"/>
        <v/>
      </c>
      <c r="B20" s="8"/>
      <c r="C20" s="8" t="s">
        <v>28</v>
      </c>
      <c r="D20" s="6" t="str">
        <f>VLOOKUP(C20,Results!$E$2:$G$69,3,FALSE)</f>
        <v/>
      </c>
      <c r="E20" s="7" t="str">
        <f>VLOOKUP($C20,Results!$E$2:$M$69,2,FALSE)</f>
        <v>Select</v>
      </c>
      <c r="F20" s="15" t="str">
        <f t="shared" si="0"/>
        <v/>
      </c>
      <c r="G20" s="15">
        <f t="shared" si="1"/>
        <v>0</v>
      </c>
      <c r="H20" s="15">
        <f t="shared" si="2"/>
        <v>0</v>
      </c>
      <c r="I20" s="15">
        <f t="shared" si="3"/>
        <v>0</v>
      </c>
      <c r="J20" s="15">
        <f t="shared" si="4"/>
        <v>0</v>
      </c>
      <c r="K20" s="15">
        <f t="shared" si="5"/>
        <v>0</v>
      </c>
      <c r="L20" s="15">
        <f t="shared" si="6"/>
        <v>0</v>
      </c>
    </row>
    <row r="21" spans="1:12" x14ac:dyDescent="0.25">
      <c r="A21" s="16" t="str">
        <f t="shared" si="7"/>
        <v/>
      </c>
      <c r="B21" s="8"/>
      <c r="C21" s="8" t="s">
        <v>38</v>
      </c>
      <c r="D21" s="6" t="str">
        <f>VLOOKUP(C21,Results!$E$2:$G$69,3,FALSE)</f>
        <v>1st Four</v>
      </c>
      <c r="E21" s="7" t="str">
        <f>VLOOKUP($C21,Results!$E$2:$M$69,2,FALSE)</f>
        <v>Select</v>
      </c>
      <c r="F21" s="15">
        <f t="shared" si="0"/>
        <v>0</v>
      </c>
      <c r="G21" s="15">
        <f t="shared" si="1"/>
        <v>0</v>
      </c>
      <c r="H21" s="15">
        <f t="shared" si="2"/>
        <v>0</v>
      </c>
      <c r="I21" s="15">
        <f t="shared" si="3"/>
        <v>0</v>
      </c>
      <c r="J21" s="15">
        <f t="shared" si="4"/>
        <v>0</v>
      </c>
      <c r="K21" s="15">
        <f t="shared" si="5"/>
        <v>0</v>
      </c>
      <c r="L21" s="15">
        <f t="shared" si="6"/>
        <v>0</v>
      </c>
    </row>
    <row r="22" spans="1:12" x14ac:dyDescent="0.25">
      <c r="A22" s="16" t="str">
        <f t="shared" si="7"/>
        <v/>
      </c>
      <c r="B22" s="8"/>
      <c r="C22" s="8" t="s">
        <v>49</v>
      </c>
      <c r="D22" s="6" t="str">
        <f>VLOOKUP(C22,Results!$E$2:$G$69,3,FALSE)</f>
        <v/>
      </c>
      <c r="E22" s="7" t="str">
        <f>VLOOKUP($C22,Results!$E$2:$M$69,2,FALSE)</f>
        <v>Select</v>
      </c>
      <c r="F22" s="15" t="str">
        <f t="shared" si="0"/>
        <v/>
      </c>
      <c r="G22" s="15">
        <f t="shared" si="1"/>
        <v>0</v>
      </c>
      <c r="H22" s="15">
        <f t="shared" si="2"/>
        <v>0</v>
      </c>
      <c r="I22" s="15">
        <f t="shared" si="3"/>
        <v>0</v>
      </c>
      <c r="J22" s="15">
        <f t="shared" si="4"/>
        <v>0</v>
      </c>
      <c r="K22" s="15">
        <f t="shared" si="5"/>
        <v>0</v>
      </c>
      <c r="L22" s="15">
        <f t="shared" si="6"/>
        <v>0</v>
      </c>
    </row>
    <row r="23" spans="1:12" x14ac:dyDescent="0.25">
      <c r="A23" s="16" t="str">
        <f t="shared" si="7"/>
        <v/>
      </c>
      <c r="B23" s="8"/>
      <c r="C23" s="8" t="s">
        <v>15</v>
      </c>
      <c r="D23" s="6" t="str">
        <f>VLOOKUP(C23,Results!$E$2:$G$69,3,FALSE)</f>
        <v/>
      </c>
      <c r="E23" s="7" t="str">
        <f>VLOOKUP($C23,Results!$E$2:$M$69,2,FALSE)</f>
        <v>Select</v>
      </c>
      <c r="F23" s="15" t="str">
        <f t="shared" si="0"/>
        <v/>
      </c>
      <c r="G23" s="15">
        <f t="shared" si="1"/>
        <v>0</v>
      </c>
      <c r="H23" s="15">
        <f t="shared" si="2"/>
        <v>0</v>
      </c>
      <c r="I23" s="15">
        <f t="shared" si="3"/>
        <v>0</v>
      </c>
      <c r="J23" s="15">
        <f t="shared" si="4"/>
        <v>0</v>
      </c>
      <c r="K23" s="15">
        <f t="shared" si="5"/>
        <v>0</v>
      </c>
      <c r="L23" s="15">
        <f t="shared" si="6"/>
        <v>0</v>
      </c>
    </row>
    <row r="24" spans="1:12" x14ac:dyDescent="0.25">
      <c r="A24" s="16" t="str">
        <f t="shared" si="7"/>
        <v/>
      </c>
      <c r="B24" s="8"/>
      <c r="C24" s="8" t="s">
        <v>35</v>
      </c>
      <c r="D24" s="6" t="str">
        <f>VLOOKUP(C24,Results!$E$2:$G$69,3,FALSE)</f>
        <v/>
      </c>
      <c r="E24" s="7" t="str">
        <f>VLOOKUP($C24,Results!$E$2:$M$69,2,FALSE)</f>
        <v>Select</v>
      </c>
      <c r="F24" s="15" t="str">
        <f t="shared" si="0"/>
        <v/>
      </c>
      <c r="G24" s="15">
        <f t="shared" si="1"/>
        <v>0</v>
      </c>
      <c r="H24" s="15">
        <f t="shared" si="2"/>
        <v>0</v>
      </c>
      <c r="I24" s="15">
        <f t="shared" si="3"/>
        <v>0</v>
      </c>
      <c r="J24" s="15">
        <f t="shared" si="4"/>
        <v>0</v>
      </c>
      <c r="K24" s="15">
        <f t="shared" si="5"/>
        <v>0</v>
      </c>
      <c r="L24" s="15">
        <f t="shared" si="6"/>
        <v>0</v>
      </c>
    </row>
    <row r="25" spans="1:12" x14ac:dyDescent="0.25">
      <c r="A25" s="16" t="str">
        <f t="shared" si="7"/>
        <v/>
      </c>
      <c r="B25" s="8"/>
      <c r="C25" s="8" t="s">
        <v>36</v>
      </c>
      <c r="D25" s="6" t="str">
        <f>VLOOKUP(C25,Results!$E$2:$G$69,3,FALSE)</f>
        <v/>
      </c>
      <c r="E25" s="7" t="str">
        <f>VLOOKUP($C25,Results!$E$2:$M$69,2,FALSE)</f>
        <v>Select</v>
      </c>
      <c r="F25" s="15" t="str">
        <f t="shared" si="0"/>
        <v/>
      </c>
      <c r="G25" s="15">
        <f t="shared" si="1"/>
        <v>0</v>
      </c>
      <c r="H25" s="15">
        <f t="shared" si="2"/>
        <v>0</v>
      </c>
      <c r="I25" s="15">
        <f t="shared" si="3"/>
        <v>0</v>
      </c>
      <c r="J25" s="15">
        <f t="shared" si="4"/>
        <v>0</v>
      </c>
      <c r="K25" s="15">
        <f t="shared" si="5"/>
        <v>0</v>
      </c>
      <c r="L25" s="15">
        <f t="shared" si="6"/>
        <v>0</v>
      </c>
    </row>
    <row r="26" spans="1:12" x14ac:dyDescent="0.25">
      <c r="A26" s="16" t="str">
        <f t="shared" si="7"/>
        <v/>
      </c>
      <c r="B26" s="8"/>
      <c r="C26" s="8" t="s">
        <v>26</v>
      </c>
      <c r="D26" s="6" t="str">
        <f>VLOOKUP(C26,Results!$E$2:$G$69,3,FALSE)</f>
        <v/>
      </c>
      <c r="E26" s="7" t="str">
        <f>VLOOKUP($C26,Results!$E$2:$M$69,2,FALSE)</f>
        <v>Select</v>
      </c>
      <c r="F26" s="15" t="str">
        <f t="shared" si="0"/>
        <v/>
      </c>
      <c r="G26" s="15">
        <f t="shared" si="1"/>
        <v>0</v>
      </c>
      <c r="H26" s="15">
        <f t="shared" si="2"/>
        <v>0</v>
      </c>
      <c r="I26" s="15">
        <f t="shared" si="3"/>
        <v>0</v>
      </c>
      <c r="J26" s="15">
        <f t="shared" si="4"/>
        <v>0</v>
      </c>
      <c r="K26" s="15">
        <f t="shared" si="5"/>
        <v>0</v>
      </c>
      <c r="L26" s="15">
        <f t="shared" si="6"/>
        <v>0</v>
      </c>
    </row>
    <row r="27" spans="1:12" x14ac:dyDescent="0.25">
      <c r="A27" s="16" t="str">
        <f t="shared" si="7"/>
        <v/>
      </c>
      <c r="B27" s="8"/>
      <c r="C27" s="8" t="s">
        <v>9</v>
      </c>
      <c r="D27" s="6" t="str">
        <f>VLOOKUP(C27,Results!$E$2:$G$69,3,FALSE)</f>
        <v/>
      </c>
      <c r="E27" s="7" t="str">
        <f>VLOOKUP($C27,Results!$E$2:$M$69,2,FALSE)</f>
        <v>Select</v>
      </c>
      <c r="F27" s="15" t="str">
        <f t="shared" si="0"/>
        <v/>
      </c>
      <c r="G27" s="15">
        <f t="shared" si="1"/>
        <v>0</v>
      </c>
      <c r="H27" s="15">
        <f t="shared" si="2"/>
        <v>0</v>
      </c>
      <c r="I27" s="15">
        <f t="shared" si="3"/>
        <v>0</v>
      </c>
      <c r="J27" s="15">
        <f t="shared" si="4"/>
        <v>0</v>
      </c>
      <c r="K27" s="15">
        <f t="shared" si="5"/>
        <v>0</v>
      </c>
      <c r="L27" s="15">
        <f t="shared" si="6"/>
        <v>0</v>
      </c>
    </row>
    <row r="28" spans="1:12" x14ac:dyDescent="0.25">
      <c r="A28" s="16" t="str">
        <f t="shared" si="7"/>
        <v/>
      </c>
      <c r="B28" s="8"/>
      <c r="C28" s="8" t="s">
        <v>54</v>
      </c>
      <c r="D28" s="6" t="str">
        <f>VLOOKUP(C28,Results!$E$2:$G$69,3,FALSE)</f>
        <v/>
      </c>
      <c r="E28" s="7" t="str">
        <f>VLOOKUP($C28,Results!$E$2:$M$69,2,FALSE)</f>
        <v>Select</v>
      </c>
      <c r="F28" s="15" t="str">
        <f t="shared" si="0"/>
        <v/>
      </c>
      <c r="G28" s="15">
        <f t="shared" si="1"/>
        <v>0</v>
      </c>
      <c r="H28" s="15">
        <f t="shared" si="2"/>
        <v>0</v>
      </c>
      <c r="I28" s="15">
        <f t="shared" si="3"/>
        <v>0</v>
      </c>
      <c r="J28" s="15">
        <f t="shared" si="4"/>
        <v>0</v>
      </c>
      <c r="K28" s="15">
        <f t="shared" si="5"/>
        <v>0</v>
      </c>
      <c r="L28" s="15">
        <f t="shared" si="6"/>
        <v>0</v>
      </c>
    </row>
    <row r="29" spans="1:12" x14ac:dyDescent="0.25">
      <c r="A29" s="16" t="str">
        <f t="shared" si="7"/>
        <v/>
      </c>
      <c r="B29" s="8"/>
      <c r="C29" s="8" t="s">
        <v>11</v>
      </c>
      <c r="D29" s="6" t="str">
        <f>VLOOKUP(C29,Results!$E$2:$G$69,3,FALSE)</f>
        <v/>
      </c>
      <c r="E29" s="7" t="str">
        <f>VLOOKUP($C29,Results!$E$2:$M$69,2,FALSE)</f>
        <v>Select</v>
      </c>
      <c r="F29" s="15" t="str">
        <f t="shared" si="0"/>
        <v/>
      </c>
      <c r="G29" s="15">
        <f t="shared" si="1"/>
        <v>0</v>
      </c>
      <c r="H29" s="15">
        <f t="shared" si="2"/>
        <v>0</v>
      </c>
      <c r="I29" s="15">
        <f t="shared" si="3"/>
        <v>0</v>
      </c>
      <c r="J29" s="15">
        <f t="shared" si="4"/>
        <v>0</v>
      </c>
      <c r="K29" s="15">
        <f t="shared" si="5"/>
        <v>0</v>
      </c>
      <c r="L29" s="15">
        <f t="shared" si="6"/>
        <v>0</v>
      </c>
    </row>
    <row r="30" spans="1:12" x14ac:dyDescent="0.25">
      <c r="A30" s="16" t="str">
        <f t="shared" si="7"/>
        <v/>
      </c>
      <c r="B30" s="8"/>
      <c r="C30" s="8" t="s">
        <v>56</v>
      </c>
      <c r="D30" s="6" t="str">
        <f>VLOOKUP(C30,Results!$E$2:$G$69,3,FALSE)</f>
        <v/>
      </c>
      <c r="E30" s="7" t="str">
        <f>VLOOKUP($C30,Results!$E$2:$M$69,2,FALSE)</f>
        <v>Select</v>
      </c>
      <c r="F30" s="15" t="str">
        <f t="shared" si="0"/>
        <v/>
      </c>
      <c r="G30" s="15">
        <f t="shared" si="1"/>
        <v>0</v>
      </c>
      <c r="H30" s="15">
        <f t="shared" si="2"/>
        <v>0</v>
      </c>
      <c r="I30" s="15">
        <f t="shared" si="3"/>
        <v>0</v>
      </c>
      <c r="J30" s="15">
        <f t="shared" si="4"/>
        <v>0</v>
      </c>
      <c r="K30" s="15">
        <f t="shared" si="5"/>
        <v>0</v>
      </c>
      <c r="L30" s="15">
        <f t="shared" si="6"/>
        <v>0</v>
      </c>
    </row>
    <row r="31" spans="1:12" x14ac:dyDescent="0.25">
      <c r="A31" s="16" t="str">
        <f t="shared" si="7"/>
        <v/>
      </c>
      <c r="B31" s="8"/>
      <c r="C31" s="8" t="s">
        <v>74</v>
      </c>
      <c r="D31" s="6" t="str">
        <f>VLOOKUP(C31,Results!$E$2:$G$69,3,FALSE)</f>
        <v>1st Four</v>
      </c>
      <c r="E31" s="7" t="str">
        <f>VLOOKUP($C31,Results!$E$2:$M$69,2,FALSE)</f>
        <v>Select</v>
      </c>
      <c r="F31" s="15">
        <f t="shared" si="0"/>
        <v>0</v>
      </c>
      <c r="G31" s="15">
        <f t="shared" si="1"/>
        <v>0</v>
      </c>
      <c r="H31" s="15">
        <f t="shared" si="2"/>
        <v>0</v>
      </c>
      <c r="I31" s="15">
        <f t="shared" si="3"/>
        <v>0</v>
      </c>
      <c r="J31" s="15">
        <f t="shared" si="4"/>
        <v>0</v>
      </c>
      <c r="K31" s="15">
        <f t="shared" si="5"/>
        <v>0</v>
      </c>
      <c r="L31" s="15">
        <f t="shared" si="6"/>
        <v>0</v>
      </c>
    </row>
    <row r="32" spans="1:12" x14ac:dyDescent="0.25">
      <c r="A32" s="16" t="str">
        <f t="shared" si="7"/>
        <v/>
      </c>
      <c r="B32" s="8"/>
      <c r="C32" s="8" t="s">
        <v>42</v>
      </c>
      <c r="D32" s="6" t="str">
        <f>VLOOKUP(C32,Results!$E$2:$G$69,3,FALSE)</f>
        <v/>
      </c>
      <c r="E32" s="7" t="str">
        <f>VLOOKUP($C32,Results!$E$2:$M$69,2,FALSE)</f>
        <v>Select</v>
      </c>
      <c r="F32" s="15" t="str">
        <f t="shared" si="0"/>
        <v/>
      </c>
      <c r="G32" s="15">
        <f t="shared" si="1"/>
        <v>0</v>
      </c>
      <c r="H32" s="15">
        <f t="shared" si="2"/>
        <v>0</v>
      </c>
      <c r="I32" s="15">
        <f t="shared" si="3"/>
        <v>0</v>
      </c>
      <c r="J32" s="15">
        <f t="shared" si="4"/>
        <v>0</v>
      </c>
      <c r="K32" s="15">
        <f t="shared" si="5"/>
        <v>0</v>
      </c>
      <c r="L32" s="15">
        <f t="shared" si="6"/>
        <v>0</v>
      </c>
    </row>
    <row r="33" spans="1:12" x14ac:dyDescent="0.25">
      <c r="A33" s="16" t="str">
        <f t="shared" si="7"/>
        <v/>
      </c>
      <c r="B33" s="8"/>
      <c r="C33" s="8" t="s">
        <v>12</v>
      </c>
      <c r="D33" s="6" t="str">
        <f>VLOOKUP(C33,Results!$E$2:$G$69,3,FALSE)</f>
        <v/>
      </c>
      <c r="E33" s="7" t="str">
        <f>VLOOKUP($C33,Results!$E$2:$M$69,2,FALSE)</f>
        <v>Select</v>
      </c>
      <c r="F33" s="15" t="str">
        <f t="shared" si="0"/>
        <v/>
      </c>
      <c r="G33" s="15">
        <f t="shared" si="1"/>
        <v>0</v>
      </c>
      <c r="H33" s="15">
        <f t="shared" si="2"/>
        <v>0</v>
      </c>
      <c r="I33" s="15">
        <f t="shared" si="3"/>
        <v>0</v>
      </c>
      <c r="J33" s="15">
        <f t="shared" si="4"/>
        <v>0</v>
      </c>
      <c r="K33" s="15">
        <f t="shared" si="5"/>
        <v>0</v>
      </c>
      <c r="L33" s="15">
        <f t="shared" si="6"/>
        <v>0</v>
      </c>
    </row>
    <row r="34" spans="1:12" x14ac:dyDescent="0.25">
      <c r="A34" s="16" t="str">
        <f t="shared" si="7"/>
        <v/>
      </c>
      <c r="B34" s="8"/>
      <c r="C34" s="8" t="s">
        <v>55</v>
      </c>
      <c r="D34" s="6" t="str">
        <f>VLOOKUP(C34,Results!$E$2:$G$69,3,FALSE)</f>
        <v/>
      </c>
      <c r="E34" s="7" t="str">
        <f>VLOOKUP($C34,Results!$E$2:$M$69,2,FALSE)</f>
        <v>Select</v>
      </c>
      <c r="F34" s="15" t="str">
        <f t="shared" si="0"/>
        <v/>
      </c>
      <c r="G34" s="15">
        <f t="shared" si="1"/>
        <v>0</v>
      </c>
      <c r="H34" s="15">
        <f t="shared" si="2"/>
        <v>0</v>
      </c>
      <c r="I34" s="15">
        <f t="shared" si="3"/>
        <v>0</v>
      </c>
      <c r="J34" s="15">
        <f t="shared" si="4"/>
        <v>0</v>
      </c>
      <c r="K34" s="15">
        <f t="shared" si="5"/>
        <v>0</v>
      </c>
      <c r="L34" s="15">
        <f t="shared" si="6"/>
        <v>0</v>
      </c>
    </row>
    <row r="35" spans="1:12" x14ac:dyDescent="0.25">
      <c r="A35" s="16" t="str">
        <f t="shared" si="7"/>
        <v/>
      </c>
      <c r="B35" s="8"/>
      <c r="C35" s="8" t="s">
        <v>45</v>
      </c>
      <c r="D35" s="6" t="str">
        <f>VLOOKUP(C35,Results!$E$2:$G$69,3,FALSE)</f>
        <v/>
      </c>
      <c r="E35" s="7" t="str">
        <f>VLOOKUP($C35,Results!$E$2:$M$69,2,FALSE)</f>
        <v>Select</v>
      </c>
      <c r="F35" s="15" t="str">
        <f t="shared" si="0"/>
        <v/>
      </c>
      <c r="G35" s="15">
        <f t="shared" si="1"/>
        <v>0</v>
      </c>
      <c r="H35" s="15">
        <f t="shared" si="2"/>
        <v>0</v>
      </c>
      <c r="I35" s="15">
        <f t="shared" si="3"/>
        <v>0</v>
      </c>
      <c r="J35" s="15">
        <f t="shared" si="4"/>
        <v>0</v>
      </c>
      <c r="K35" s="15">
        <f t="shared" si="5"/>
        <v>0</v>
      </c>
      <c r="L35" s="15">
        <f t="shared" si="6"/>
        <v>0</v>
      </c>
    </row>
    <row r="36" spans="1:12" x14ac:dyDescent="0.25">
      <c r="A36" s="16" t="str">
        <f t="shared" si="7"/>
        <v/>
      </c>
      <c r="B36" s="8"/>
      <c r="C36" s="8" t="s">
        <v>18</v>
      </c>
      <c r="D36" s="6" t="str">
        <f>VLOOKUP(C36,Results!$E$2:$G$69,3,FALSE)</f>
        <v/>
      </c>
      <c r="E36" s="7" t="str">
        <f>VLOOKUP($C36,Results!$E$2:$M$69,2,FALSE)</f>
        <v>Select</v>
      </c>
      <c r="F36" s="15" t="str">
        <f t="shared" si="0"/>
        <v/>
      </c>
      <c r="G36" s="15">
        <f t="shared" si="1"/>
        <v>0</v>
      </c>
      <c r="H36" s="15">
        <f t="shared" si="2"/>
        <v>0</v>
      </c>
      <c r="I36" s="15">
        <f t="shared" si="3"/>
        <v>0</v>
      </c>
      <c r="J36" s="15">
        <f t="shared" si="4"/>
        <v>0</v>
      </c>
      <c r="K36" s="15">
        <f t="shared" si="5"/>
        <v>0</v>
      </c>
      <c r="L36" s="15">
        <f t="shared" si="6"/>
        <v>0</v>
      </c>
    </row>
    <row r="37" spans="1:12" x14ac:dyDescent="0.25">
      <c r="A37" s="16" t="str">
        <f t="shared" si="7"/>
        <v/>
      </c>
      <c r="B37" s="8"/>
      <c r="C37" s="8" t="s">
        <v>70</v>
      </c>
      <c r="D37" s="6" t="str">
        <f>VLOOKUP(C37,Results!$E$2:$G$69,3,FALSE)</f>
        <v/>
      </c>
      <c r="E37" s="7" t="str">
        <f>VLOOKUP($C37,Results!$E$2:$M$69,2,FALSE)</f>
        <v>Select</v>
      </c>
      <c r="F37" s="15" t="str">
        <f t="shared" si="0"/>
        <v/>
      </c>
      <c r="G37" s="15">
        <f t="shared" si="1"/>
        <v>0</v>
      </c>
      <c r="H37" s="15">
        <f t="shared" si="2"/>
        <v>0</v>
      </c>
      <c r="I37" s="15">
        <f t="shared" si="3"/>
        <v>0</v>
      </c>
      <c r="J37" s="15">
        <f t="shared" si="4"/>
        <v>0</v>
      </c>
      <c r="K37" s="15">
        <f t="shared" si="5"/>
        <v>0</v>
      </c>
      <c r="L37" s="15">
        <f t="shared" si="6"/>
        <v>0</v>
      </c>
    </row>
    <row r="38" spans="1:12" x14ac:dyDescent="0.25">
      <c r="A38" s="16" t="str">
        <f t="shared" si="7"/>
        <v/>
      </c>
      <c r="B38" s="8"/>
      <c r="C38" s="8" t="s">
        <v>73</v>
      </c>
      <c r="D38" s="6" t="str">
        <f>VLOOKUP(C38,Results!$E$2:$G$69,3,FALSE)</f>
        <v>1st Four</v>
      </c>
      <c r="E38" s="7" t="str">
        <f>VLOOKUP($C38,Results!$E$2:$M$69,2,FALSE)</f>
        <v>Select</v>
      </c>
      <c r="F38" s="15">
        <f t="shared" si="0"/>
        <v>0</v>
      </c>
      <c r="G38" s="15">
        <f t="shared" si="1"/>
        <v>0</v>
      </c>
      <c r="H38" s="15">
        <f t="shared" si="2"/>
        <v>0</v>
      </c>
      <c r="I38" s="15">
        <f t="shared" si="3"/>
        <v>0</v>
      </c>
      <c r="J38" s="15">
        <f t="shared" si="4"/>
        <v>0</v>
      </c>
      <c r="K38" s="15">
        <f t="shared" si="5"/>
        <v>0</v>
      </c>
      <c r="L38" s="15">
        <f t="shared" si="6"/>
        <v>0</v>
      </c>
    </row>
    <row r="39" spans="1:12" x14ac:dyDescent="0.25">
      <c r="A39" s="16" t="str">
        <f t="shared" si="7"/>
        <v/>
      </c>
      <c r="B39" s="8"/>
      <c r="C39" s="8" t="s">
        <v>44</v>
      </c>
      <c r="D39" s="6" t="str">
        <f>VLOOKUP(C39,Results!$E$2:$G$69,3,FALSE)</f>
        <v/>
      </c>
      <c r="E39" s="7" t="str">
        <f>VLOOKUP($C39,Results!$E$2:$M$69,2,FALSE)</f>
        <v>Select</v>
      </c>
      <c r="F39" s="15" t="str">
        <f t="shared" si="0"/>
        <v/>
      </c>
      <c r="G39" s="15">
        <f t="shared" si="1"/>
        <v>0</v>
      </c>
      <c r="H39" s="15">
        <f t="shared" si="2"/>
        <v>0</v>
      </c>
      <c r="I39" s="15">
        <f t="shared" si="3"/>
        <v>0</v>
      </c>
      <c r="J39" s="15">
        <f t="shared" si="4"/>
        <v>0</v>
      </c>
      <c r="K39" s="15">
        <f t="shared" si="5"/>
        <v>0</v>
      </c>
      <c r="L39" s="15">
        <f t="shared" si="6"/>
        <v>0</v>
      </c>
    </row>
    <row r="40" spans="1:12" x14ac:dyDescent="0.25">
      <c r="A40" s="16" t="str">
        <f t="shared" si="7"/>
        <v/>
      </c>
      <c r="B40" s="8"/>
      <c r="C40" s="8" t="s">
        <v>57</v>
      </c>
      <c r="D40" s="6" t="str">
        <f>VLOOKUP(C40,Results!$E$2:$G$69,3,FALSE)</f>
        <v/>
      </c>
      <c r="E40" s="7" t="str">
        <f>VLOOKUP($C40,Results!$E$2:$M$69,2,FALSE)</f>
        <v>Select</v>
      </c>
      <c r="F40" s="15" t="str">
        <f t="shared" si="0"/>
        <v/>
      </c>
      <c r="G40" s="15">
        <f t="shared" si="1"/>
        <v>0</v>
      </c>
      <c r="H40" s="15">
        <f t="shared" si="2"/>
        <v>0</v>
      </c>
      <c r="I40" s="15">
        <f t="shared" si="3"/>
        <v>0</v>
      </c>
      <c r="J40" s="15">
        <f t="shared" si="4"/>
        <v>0</v>
      </c>
      <c r="K40" s="15">
        <f t="shared" si="5"/>
        <v>0</v>
      </c>
      <c r="L40" s="15">
        <f t="shared" si="6"/>
        <v>0</v>
      </c>
    </row>
    <row r="41" spans="1:12" x14ac:dyDescent="0.25">
      <c r="A41" s="16" t="str">
        <f t="shared" si="7"/>
        <v/>
      </c>
      <c r="B41" s="8"/>
      <c r="C41" s="8" t="s">
        <v>30</v>
      </c>
      <c r="D41" s="6" t="str">
        <f>VLOOKUP(C41,Results!$E$2:$G$69,3,FALSE)</f>
        <v/>
      </c>
      <c r="E41" s="7" t="str">
        <f>VLOOKUP($C41,Results!$E$2:$M$69,2,FALSE)</f>
        <v>Select</v>
      </c>
      <c r="F41" s="15" t="str">
        <f t="shared" si="0"/>
        <v/>
      </c>
      <c r="G41" s="15">
        <f t="shared" si="1"/>
        <v>0</v>
      </c>
      <c r="H41" s="15">
        <f t="shared" si="2"/>
        <v>0</v>
      </c>
      <c r="I41" s="15">
        <f t="shared" si="3"/>
        <v>0</v>
      </c>
      <c r="J41" s="15">
        <f t="shared" si="4"/>
        <v>0</v>
      </c>
      <c r="K41" s="15">
        <f t="shared" si="5"/>
        <v>0</v>
      </c>
      <c r="L41" s="15">
        <f t="shared" si="6"/>
        <v>0</v>
      </c>
    </row>
    <row r="42" spans="1:12" x14ac:dyDescent="0.25">
      <c r="A42" s="16" t="str">
        <f t="shared" si="7"/>
        <v/>
      </c>
      <c r="B42" s="8"/>
      <c r="C42" s="8" t="s">
        <v>29</v>
      </c>
      <c r="D42" s="6" t="str">
        <f>VLOOKUP(C42,Results!$E$2:$G$69,3,FALSE)</f>
        <v/>
      </c>
      <c r="E42" s="7" t="str">
        <f>VLOOKUP($C42,Results!$E$2:$M$69,2,FALSE)</f>
        <v>Select</v>
      </c>
      <c r="F42" s="15" t="str">
        <f t="shared" si="0"/>
        <v/>
      </c>
      <c r="G42" s="15">
        <f t="shared" si="1"/>
        <v>0</v>
      </c>
      <c r="H42" s="15">
        <f t="shared" si="2"/>
        <v>0</v>
      </c>
      <c r="I42" s="15">
        <f t="shared" si="3"/>
        <v>0</v>
      </c>
      <c r="J42" s="15">
        <f t="shared" si="4"/>
        <v>0</v>
      </c>
      <c r="K42" s="15">
        <f t="shared" si="5"/>
        <v>0</v>
      </c>
      <c r="L42" s="15">
        <f t="shared" si="6"/>
        <v>0</v>
      </c>
    </row>
    <row r="43" spans="1:12" x14ac:dyDescent="0.25">
      <c r="A43" s="16" t="str">
        <f t="shared" si="7"/>
        <v/>
      </c>
      <c r="B43" s="8"/>
      <c r="C43" s="8" t="s">
        <v>21</v>
      </c>
      <c r="D43" s="6" t="str">
        <f>VLOOKUP(C43,Results!$E$2:$G$69,3,FALSE)</f>
        <v/>
      </c>
      <c r="E43" s="7" t="str">
        <f>VLOOKUP($C43,Results!$E$2:$M$69,2,FALSE)</f>
        <v>Select</v>
      </c>
      <c r="F43" s="15" t="str">
        <f t="shared" si="0"/>
        <v/>
      </c>
      <c r="G43" s="15">
        <f t="shared" si="1"/>
        <v>0</v>
      </c>
      <c r="H43" s="15">
        <f t="shared" si="2"/>
        <v>0</v>
      </c>
      <c r="I43" s="15">
        <f t="shared" si="3"/>
        <v>0</v>
      </c>
      <c r="J43" s="15">
        <f t="shared" si="4"/>
        <v>0</v>
      </c>
      <c r="K43" s="15">
        <f t="shared" si="5"/>
        <v>0</v>
      </c>
      <c r="L43" s="15">
        <f t="shared" si="6"/>
        <v>0</v>
      </c>
    </row>
    <row r="44" spans="1:12" x14ac:dyDescent="0.25">
      <c r="A44" s="16" t="str">
        <f t="shared" si="7"/>
        <v/>
      </c>
      <c r="B44" s="8"/>
      <c r="C44" s="8" t="s">
        <v>22</v>
      </c>
      <c r="D44" s="6" t="str">
        <f>VLOOKUP(C44,Results!$E$2:$G$69,3,FALSE)</f>
        <v/>
      </c>
      <c r="E44" s="7" t="str">
        <f>VLOOKUP($C44,Results!$E$2:$M$69,2,FALSE)</f>
        <v>Select</v>
      </c>
      <c r="F44" s="15" t="str">
        <f t="shared" si="0"/>
        <v/>
      </c>
      <c r="G44" s="15">
        <f t="shared" si="1"/>
        <v>0</v>
      </c>
      <c r="H44" s="15">
        <f t="shared" si="2"/>
        <v>0</v>
      </c>
      <c r="I44" s="15">
        <f t="shared" si="3"/>
        <v>0</v>
      </c>
      <c r="J44" s="15">
        <f t="shared" si="4"/>
        <v>0</v>
      </c>
      <c r="K44" s="15">
        <f t="shared" si="5"/>
        <v>0</v>
      </c>
      <c r="L44" s="15">
        <f t="shared" si="6"/>
        <v>0</v>
      </c>
    </row>
    <row r="45" spans="1:12" x14ac:dyDescent="0.25">
      <c r="A45" s="16" t="str">
        <f t="shared" si="7"/>
        <v/>
      </c>
      <c r="B45" s="8"/>
      <c r="C45" s="8" t="s">
        <v>32</v>
      </c>
      <c r="D45" s="6" t="str">
        <f>VLOOKUP(C45,Results!$E$2:$G$69,3,FALSE)</f>
        <v>1st Four</v>
      </c>
      <c r="E45" s="7" t="str">
        <f>VLOOKUP($C45,Results!$E$2:$M$69,2,FALSE)</f>
        <v>Select</v>
      </c>
      <c r="F45" s="15">
        <f t="shared" si="0"/>
        <v>0</v>
      </c>
      <c r="G45" s="15">
        <f t="shared" si="1"/>
        <v>0</v>
      </c>
      <c r="H45" s="15">
        <f t="shared" si="2"/>
        <v>0</v>
      </c>
      <c r="I45" s="15">
        <f t="shared" si="3"/>
        <v>0</v>
      </c>
      <c r="J45" s="15">
        <f t="shared" si="4"/>
        <v>0</v>
      </c>
      <c r="K45" s="15">
        <f t="shared" si="5"/>
        <v>0</v>
      </c>
      <c r="L45" s="15">
        <f t="shared" si="6"/>
        <v>0</v>
      </c>
    </row>
    <row r="46" spans="1:12" x14ac:dyDescent="0.25">
      <c r="A46" s="16" t="str">
        <f t="shared" si="7"/>
        <v/>
      </c>
      <c r="B46" s="8"/>
      <c r="C46" s="8" t="s">
        <v>23</v>
      </c>
      <c r="D46" s="6" t="str">
        <f>VLOOKUP(C46,Results!$E$2:$G$69,3,FALSE)</f>
        <v/>
      </c>
      <c r="E46" s="7" t="str">
        <f>VLOOKUP($C46,Results!$E$2:$M$69,2,FALSE)</f>
        <v>Select</v>
      </c>
      <c r="F46" s="15" t="str">
        <f t="shared" si="0"/>
        <v/>
      </c>
      <c r="G46" s="15">
        <f t="shared" si="1"/>
        <v>0</v>
      </c>
      <c r="H46" s="15">
        <f t="shared" si="2"/>
        <v>0</v>
      </c>
      <c r="I46" s="15">
        <f t="shared" si="3"/>
        <v>0</v>
      </c>
      <c r="J46" s="15">
        <f t="shared" si="4"/>
        <v>0</v>
      </c>
      <c r="K46" s="15">
        <f t="shared" si="5"/>
        <v>0</v>
      </c>
      <c r="L46" s="15">
        <f t="shared" si="6"/>
        <v>0</v>
      </c>
    </row>
    <row r="47" spans="1:12" x14ac:dyDescent="0.25">
      <c r="A47" s="16" t="str">
        <f t="shared" si="7"/>
        <v/>
      </c>
      <c r="B47" s="8"/>
      <c r="C47" s="8" t="s">
        <v>59</v>
      </c>
      <c r="D47" s="6" t="str">
        <f>VLOOKUP(C47,Results!$E$2:$G$69,3,FALSE)</f>
        <v/>
      </c>
      <c r="E47" s="7" t="str">
        <f>VLOOKUP($C47,Results!$E$2:$M$69,2,FALSE)</f>
        <v>Select</v>
      </c>
      <c r="F47" s="15" t="str">
        <f t="shared" si="0"/>
        <v/>
      </c>
      <c r="G47" s="15">
        <f t="shared" si="1"/>
        <v>0</v>
      </c>
      <c r="H47" s="15">
        <f t="shared" si="2"/>
        <v>0</v>
      </c>
      <c r="I47" s="15">
        <f t="shared" si="3"/>
        <v>0</v>
      </c>
      <c r="J47" s="15">
        <f t="shared" si="4"/>
        <v>0</v>
      </c>
      <c r="K47" s="15">
        <f t="shared" si="5"/>
        <v>0</v>
      </c>
      <c r="L47" s="15">
        <f t="shared" si="6"/>
        <v>0</v>
      </c>
    </row>
    <row r="48" spans="1:12" x14ac:dyDescent="0.25">
      <c r="A48" s="16" t="str">
        <f t="shared" si="7"/>
        <v/>
      </c>
      <c r="B48" s="8"/>
      <c r="C48" s="8" t="s">
        <v>40</v>
      </c>
      <c r="D48" s="6" t="str">
        <f>VLOOKUP(C48,Results!$E$2:$G$69,3,FALSE)</f>
        <v/>
      </c>
      <c r="E48" s="7" t="str">
        <f>VLOOKUP($C48,Results!$E$2:$M$69,2,FALSE)</f>
        <v>Select</v>
      </c>
      <c r="F48" s="15" t="str">
        <f t="shared" si="0"/>
        <v/>
      </c>
      <c r="G48" s="15">
        <f t="shared" si="1"/>
        <v>0</v>
      </c>
      <c r="H48" s="15">
        <f t="shared" si="2"/>
        <v>0</v>
      </c>
      <c r="I48" s="15">
        <f t="shared" si="3"/>
        <v>0</v>
      </c>
      <c r="J48" s="15">
        <f t="shared" si="4"/>
        <v>0</v>
      </c>
      <c r="K48" s="15">
        <f t="shared" si="5"/>
        <v>0</v>
      </c>
      <c r="L48" s="15">
        <f t="shared" si="6"/>
        <v>0</v>
      </c>
    </row>
    <row r="49" spans="1:12" x14ac:dyDescent="0.25">
      <c r="A49" s="16" t="str">
        <f t="shared" si="7"/>
        <v/>
      </c>
      <c r="B49" s="8"/>
      <c r="C49" s="8" t="s">
        <v>62</v>
      </c>
      <c r="D49" s="6" t="str">
        <f>VLOOKUP(C49,Results!$E$2:$G$69,3,FALSE)</f>
        <v>1st Four</v>
      </c>
      <c r="E49" s="7" t="str">
        <f>VLOOKUP($C49,Results!$E$2:$M$69,2,FALSE)</f>
        <v>Select</v>
      </c>
      <c r="F49" s="15">
        <f t="shared" si="0"/>
        <v>0</v>
      </c>
      <c r="G49" s="15">
        <f t="shared" si="1"/>
        <v>0</v>
      </c>
      <c r="H49" s="15">
        <f t="shared" si="2"/>
        <v>0</v>
      </c>
      <c r="I49" s="15">
        <f t="shared" si="3"/>
        <v>0</v>
      </c>
      <c r="J49" s="15">
        <f t="shared" si="4"/>
        <v>0</v>
      </c>
      <c r="K49" s="15">
        <f t="shared" si="5"/>
        <v>0</v>
      </c>
      <c r="L49" s="15">
        <f t="shared" si="6"/>
        <v>0</v>
      </c>
    </row>
    <row r="50" spans="1:12" x14ac:dyDescent="0.25">
      <c r="A50" s="16" t="str">
        <f t="shared" si="7"/>
        <v/>
      </c>
      <c r="B50" s="8"/>
      <c r="C50" s="8" t="s">
        <v>63</v>
      </c>
      <c r="D50" s="6" t="str">
        <f>VLOOKUP(C50,Results!$E$2:$G$69,3,FALSE)</f>
        <v/>
      </c>
      <c r="E50" s="7" t="str">
        <f>VLOOKUP($C50,Results!$E$2:$M$69,2,FALSE)</f>
        <v>Select</v>
      </c>
      <c r="F50" s="15" t="str">
        <f t="shared" si="0"/>
        <v/>
      </c>
      <c r="G50" s="15">
        <f t="shared" si="1"/>
        <v>0</v>
      </c>
      <c r="H50" s="15">
        <f t="shared" si="2"/>
        <v>0</v>
      </c>
      <c r="I50" s="15">
        <f t="shared" si="3"/>
        <v>0</v>
      </c>
      <c r="J50" s="15">
        <f t="shared" si="4"/>
        <v>0</v>
      </c>
      <c r="K50" s="15">
        <f t="shared" si="5"/>
        <v>0</v>
      </c>
      <c r="L50" s="15">
        <f t="shared" si="6"/>
        <v>0</v>
      </c>
    </row>
    <row r="51" spans="1:12" x14ac:dyDescent="0.25">
      <c r="A51" s="16" t="str">
        <f t="shared" si="7"/>
        <v/>
      </c>
      <c r="B51" s="8"/>
      <c r="C51" s="8" t="s">
        <v>65</v>
      </c>
      <c r="D51" s="6" t="str">
        <f>VLOOKUP(C51,Results!$E$2:$G$69,3,FALSE)</f>
        <v/>
      </c>
      <c r="E51" s="7" t="str">
        <f>VLOOKUP($C51,Results!$E$2:$M$69,2,FALSE)</f>
        <v>Select</v>
      </c>
      <c r="F51" s="15" t="str">
        <f t="shared" si="0"/>
        <v/>
      </c>
      <c r="G51" s="15">
        <f t="shared" si="1"/>
        <v>0</v>
      </c>
      <c r="H51" s="15">
        <f t="shared" si="2"/>
        <v>0</v>
      </c>
      <c r="I51" s="15">
        <f t="shared" si="3"/>
        <v>0</v>
      </c>
      <c r="J51" s="15">
        <f t="shared" si="4"/>
        <v>0</v>
      </c>
      <c r="K51" s="15">
        <f t="shared" si="5"/>
        <v>0</v>
      </c>
      <c r="L51" s="15">
        <f t="shared" si="6"/>
        <v>0</v>
      </c>
    </row>
    <row r="52" spans="1:12" x14ac:dyDescent="0.25">
      <c r="A52" s="16" t="str">
        <f t="shared" si="7"/>
        <v/>
      </c>
      <c r="B52" s="8"/>
      <c r="C52" s="8" t="s">
        <v>67</v>
      </c>
      <c r="D52" s="6" t="str">
        <f>VLOOKUP(C52,Results!$E$2:$G$69,3,FALSE)</f>
        <v/>
      </c>
      <c r="E52" s="7" t="str">
        <f>VLOOKUP($C52,Results!$E$2:$M$69,2,FALSE)</f>
        <v>Select</v>
      </c>
      <c r="F52" s="15" t="str">
        <f t="shared" si="0"/>
        <v/>
      </c>
      <c r="G52" s="15">
        <f t="shared" si="1"/>
        <v>0</v>
      </c>
      <c r="H52" s="15">
        <f t="shared" si="2"/>
        <v>0</v>
      </c>
      <c r="I52" s="15">
        <f t="shared" si="3"/>
        <v>0</v>
      </c>
      <c r="J52" s="15">
        <f t="shared" si="4"/>
        <v>0</v>
      </c>
      <c r="K52" s="15">
        <f t="shared" si="5"/>
        <v>0</v>
      </c>
      <c r="L52" s="15">
        <f t="shared" si="6"/>
        <v>0</v>
      </c>
    </row>
    <row r="53" spans="1:12" x14ac:dyDescent="0.25">
      <c r="A53" s="16" t="str">
        <f t="shared" si="7"/>
        <v/>
      </c>
      <c r="B53" s="8"/>
      <c r="C53" s="8" t="s">
        <v>17</v>
      </c>
      <c r="D53" s="6" t="str">
        <f>VLOOKUP(C53,Results!$E$2:$G$69,3,FALSE)</f>
        <v/>
      </c>
      <c r="E53" s="7" t="str">
        <f>VLOOKUP($C53,Results!$E$2:$M$69,2,FALSE)</f>
        <v>Select</v>
      </c>
      <c r="F53" s="15" t="str">
        <f t="shared" si="0"/>
        <v/>
      </c>
      <c r="G53" s="15">
        <f t="shared" si="1"/>
        <v>0</v>
      </c>
      <c r="H53" s="15">
        <f t="shared" si="2"/>
        <v>0</v>
      </c>
      <c r="I53" s="15">
        <f t="shared" si="3"/>
        <v>0</v>
      </c>
      <c r="J53" s="15">
        <f t="shared" si="4"/>
        <v>0</v>
      </c>
      <c r="K53" s="15">
        <f t="shared" si="5"/>
        <v>0</v>
      </c>
      <c r="L53" s="15">
        <f t="shared" si="6"/>
        <v>0</v>
      </c>
    </row>
    <row r="54" spans="1:12" x14ac:dyDescent="0.25">
      <c r="A54" s="16" t="str">
        <f t="shared" si="7"/>
        <v/>
      </c>
      <c r="B54" s="8"/>
      <c r="C54" s="8" t="s">
        <v>20</v>
      </c>
      <c r="D54" s="6" t="str">
        <f>VLOOKUP(C54,Results!$E$2:$G$69,3,FALSE)</f>
        <v/>
      </c>
      <c r="E54" s="7" t="str">
        <f>VLOOKUP($C54,Results!$E$2:$M$69,2,FALSE)</f>
        <v>Select</v>
      </c>
      <c r="F54" s="15" t="str">
        <f t="shared" si="0"/>
        <v/>
      </c>
      <c r="G54" s="15">
        <f t="shared" si="1"/>
        <v>0</v>
      </c>
      <c r="H54" s="15">
        <f t="shared" si="2"/>
        <v>0</v>
      </c>
      <c r="I54" s="15">
        <f t="shared" si="3"/>
        <v>0</v>
      </c>
      <c r="J54" s="15">
        <f t="shared" si="4"/>
        <v>0</v>
      </c>
      <c r="K54" s="15">
        <f t="shared" si="5"/>
        <v>0</v>
      </c>
      <c r="L54" s="15">
        <f t="shared" si="6"/>
        <v>0</v>
      </c>
    </row>
    <row r="55" spans="1:12" x14ac:dyDescent="0.25">
      <c r="A55" s="16" t="str">
        <f t="shared" si="7"/>
        <v/>
      </c>
      <c r="B55" s="8"/>
      <c r="C55" s="8" t="s">
        <v>53</v>
      </c>
      <c r="D55" s="6" t="str">
        <f>VLOOKUP(C55,Results!$E$2:$G$69,3,FALSE)</f>
        <v/>
      </c>
      <c r="E55" s="7" t="str">
        <f>VLOOKUP($C55,Results!$E$2:$M$69,2,FALSE)</f>
        <v>Select</v>
      </c>
      <c r="F55" s="15" t="str">
        <f t="shared" si="0"/>
        <v/>
      </c>
      <c r="G55" s="15">
        <f t="shared" si="1"/>
        <v>0</v>
      </c>
      <c r="H55" s="15">
        <f t="shared" si="2"/>
        <v>0</v>
      </c>
      <c r="I55" s="15">
        <f t="shared" si="3"/>
        <v>0</v>
      </c>
      <c r="J55" s="15">
        <f t="shared" si="4"/>
        <v>0</v>
      </c>
      <c r="K55" s="15">
        <f t="shared" si="5"/>
        <v>0</v>
      </c>
      <c r="L55" s="15">
        <f t="shared" si="6"/>
        <v>0</v>
      </c>
    </row>
    <row r="56" spans="1:12" x14ac:dyDescent="0.25">
      <c r="A56" s="16" t="str">
        <f t="shared" si="7"/>
        <v/>
      </c>
      <c r="B56" s="8"/>
      <c r="C56" s="8" t="s">
        <v>68</v>
      </c>
      <c r="D56" s="6" t="str">
        <f>VLOOKUP(C56,Results!$E$2:$G$69,3,FALSE)</f>
        <v/>
      </c>
      <c r="E56" s="7" t="str">
        <f>VLOOKUP($C56,Results!$E$2:$M$69,2,FALSE)</f>
        <v>Select</v>
      </c>
      <c r="F56" s="15" t="str">
        <f t="shared" si="0"/>
        <v/>
      </c>
      <c r="G56" s="15">
        <f t="shared" si="1"/>
        <v>0</v>
      </c>
      <c r="H56" s="15">
        <f t="shared" si="2"/>
        <v>0</v>
      </c>
      <c r="I56" s="15">
        <f t="shared" si="3"/>
        <v>0</v>
      </c>
      <c r="J56" s="15">
        <f t="shared" si="4"/>
        <v>0</v>
      </c>
      <c r="K56" s="15">
        <f t="shared" si="5"/>
        <v>0</v>
      </c>
      <c r="L56" s="15">
        <f t="shared" si="6"/>
        <v>0</v>
      </c>
    </row>
    <row r="57" spans="1:12" x14ac:dyDescent="0.25">
      <c r="A57" s="16" t="str">
        <f t="shared" si="7"/>
        <v/>
      </c>
      <c r="B57" s="8"/>
      <c r="C57" s="8" t="s">
        <v>76</v>
      </c>
      <c r="D57" s="6" t="str">
        <f>VLOOKUP(C57,Results!$E$2:$G$69,3,FALSE)</f>
        <v/>
      </c>
      <c r="E57" s="7" t="str">
        <f>VLOOKUP($C57,Results!$E$2:$M$69,2,FALSE)</f>
        <v>Select</v>
      </c>
      <c r="F57" s="15" t="str">
        <f t="shared" si="0"/>
        <v/>
      </c>
      <c r="G57" s="15">
        <f t="shared" si="1"/>
        <v>0</v>
      </c>
      <c r="H57" s="15">
        <f t="shared" si="2"/>
        <v>0</v>
      </c>
      <c r="I57" s="15">
        <f t="shared" si="3"/>
        <v>0</v>
      </c>
      <c r="J57" s="15">
        <f t="shared" si="4"/>
        <v>0</v>
      </c>
      <c r="K57" s="15">
        <f t="shared" si="5"/>
        <v>0</v>
      </c>
      <c r="L57" s="15">
        <f t="shared" si="6"/>
        <v>0</v>
      </c>
    </row>
    <row r="58" spans="1:12" x14ac:dyDescent="0.25">
      <c r="A58" s="16" t="str">
        <f t="shared" si="7"/>
        <v/>
      </c>
      <c r="B58" s="8"/>
      <c r="C58" s="8" t="s">
        <v>24</v>
      </c>
      <c r="D58" s="6" t="str">
        <f>VLOOKUP(C58,Results!$E$2:$G$69,3,FALSE)</f>
        <v/>
      </c>
      <c r="E58" s="7" t="str">
        <f>VLOOKUP($C58,Results!$E$2:$M$69,2,FALSE)</f>
        <v>Select</v>
      </c>
      <c r="F58" s="15" t="str">
        <f t="shared" si="0"/>
        <v/>
      </c>
      <c r="G58" s="15">
        <f t="shared" si="1"/>
        <v>0</v>
      </c>
      <c r="H58" s="15">
        <f t="shared" si="2"/>
        <v>0</v>
      </c>
      <c r="I58" s="15">
        <f t="shared" si="3"/>
        <v>0</v>
      </c>
      <c r="J58" s="15">
        <f t="shared" si="4"/>
        <v>0</v>
      </c>
      <c r="K58" s="15">
        <f t="shared" si="5"/>
        <v>0</v>
      </c>
      <c r="L58" s="15">
        <f t="shared" si="6"/>
        <v>0</v>
      </c>
    </row>
    <row r="59" spans="1:12" x14ac:dyDescent="0.25">
      <c r="A59" s="16" t="str">
        <f t="shared" si="7"/>
        <v/>
      </c>
      <c r="B59" s="8"/>
      <c r="C59" s="8" t="s">
        <v>64</v>
      </c>
      <c r="D59" s="6" t="str">
        <f>VLOOKUP(C59,Results!$E$2:$G$69,3,FALSE)</f>
        <v/>
      </c>
      <c r="E59" s="7" t="str">
        <f>VLOOKUP($C59,Results!$E$2:$M$69,2,FALSE)</f>
        <v>Select</v>
      </c>
      <c r="F59" s="15" t="str">
        <f t="shared" si="0"/>
        <v/>
      </c>
      <c r="G59" s="15">
        <f t="shared" si="1"/>
        <v>0</v>
      </c>
      <c r="H59" s="15">
        <f t="shared" si="2"/>
        <v>0</v>
      </c>
      <c r="I59" s="15">
        <f t="shared" si="3"/>
        <v>0</v>
      </c>
      <c r="J59" s="15">
        <f t="shared" si="4"/>
        <v>0</v>
      </c>
      <c r="K59" s="15">
        <f t="shared" si="5"/>
        <v>0</v>
      </c>
      <c r="L59" s="15">
        <f t="shared" si="6"/>
        <v>0</v>
      </c>
    </row>
    <row r="60" spans="1:12" x14ac:dyDescent="0.25">
      <c r="A60" s="16" t="str">
        <f t="shared" si="7"/>
        <v/>
      </c>
      <c r="B60" s="8"/>
      <c r="C60" s="8" t="s">
        <v>43</v>
      </c>
      <c r="D60" s="6" t="str">
        <f>VLOOKUP(C60,Results!$E$2:$G$69,3,FALSE)</f>
        <v/>
      </c>
      <c r="E60" s="7" t="str">
        <f>VLOOKUP($C60,Results!$E$2:$M$69,2,FALSE)</f>
        <v>Select</v>
      </c>
      <c r="F60" s="15" t="str">
        <f t="shared" si="0"/>
        <v/>
      </c>
      <c r="G60" s="15">
        <f t="shared" si="1"/>
        <v>0</v>
      </c>
      <c r="H60" s="15">
        <f t="shared" si="2"/>
        <v>0</v>
      </c>
      <c r="I60" s="15">
        <f t="shared" si="3"/>
        <v>0</v>
      </c>
      <c r="J60" s="15">
        <f t="shared" si="4"/>
        <v>0</v>
      </c>
      <c r="K60" s="15">
        <f t="shared" si="5"/>
        <v>0</v>
      </c>
      <c r="L60" s="15">
        <f t="shared" si="6"/>
        <v>0</v>
      </c>
    </row>
    <row r="61" spans="1:12" x14ac:dyDescent="0.25">
      <c r="A61" s="16" t="str">
        <f t="shared" si="7"/>
        <v/>
      </c>
      <c r="B61" s="8"/>
      <c r="C61" s="8" t="s">
        <v>52</v>
      </c>
      <c r="D61" s="6" t="str">
        <f>VLOOKUP(C61,Results!$E$2:$G$69,3,FALSE)</f>
        <v/>
      </c>
      <c r="E61" s="7" t="str">
        <f>VLOOKUP($C61,Results!$E$2:$M$69,2,FALSE)</f>
        <v>Select</v>
      </c>
      <c r="F61" s="15" t="str">
        <f t="shared" si="0"/>
        <v/>
      </c>
      <c r="G61" s="15">
        <f t="shared" si="1"/>
        <v>0</v>
      </c>
      <c r="H61" s="15">
        <f t="shared" si="2"/>
        <v>0</v>
      </c>
      <c r="I61" s="15">
        <f t="shared" si="3"/>
        <v>0</v>
      </c>
      <c r="J61" s="15">
        <f t="shared" si="4"/>
        <v>0</v>
      </c>
      <c r="K61" s="15">
        <f t="shared" si="5"/>
        <v>0</v>
      </c>
      <c r="L61" s="15">
        <f t="shared" si="6"/>
        <v>0</v>
      </c>
    </row>
    <row r="62" spans="1:12" x14ac:dyDescent="0.25">
      <c r="A62" s="16" t="str">
        <f t="shared" si="7"/>
        <v/>
      </c>
      <c r="B62" s="8"/>
      <c r="C62" s="8" t="s">
        <v>33</v>
      </c>
      <c r="D62" s="6" t="str">
        <f>VLOOKUP(C62,Results!$E$2:$G$69,3,FALSE)</f>
        <v/>
      </c>
      <c r="E62" s="7" t="str">
        <f>VLOOKUP($C62,Results!$E$2:$M$69,2,FALSE)</f>
        <v>Select</v>
      </c>
      <c r="F62" s="15" t="str">
        <f t="shared" si="0"/>
        <v/>
      </c>
      <c r="G62" s="15">
        <f t="shared" si="1"/>
        <v>0</v>
      </c>
      <c r="H62" s="15">
        <f t="shared" si="2"/>
        <v>0</v>
      </c>
      <c r="I62" s="15">
        <f t="shared" si="3"/>
        <v>0</v>
      </c>
      <c r="J62" s="15">
        <f t="shared" si="4"/>
        <v>0</v>
      </c>
      <c r="K62" s="15">
        <f t="shared" si="5"/>
        <v>0</v>
      </c>
      <c r="L62" s="15">
        <f t="shared" si="6"/>
        <v>0</v>
      </c>
    </row>
    <row r="63" spans="1:12" x14ac:dyDescent="0.25">
      <c r="A63" s="16" t="str">
        <f t="shared" si="7"/>
        <v/>
      </c>
      <c r="B63" s="8"/>
      <c r="C63" s="8" t="s">
        <v>27</v>
      </c>
      <c r="D63" s="6" t="str">
        <f>VLOOKUP(C63,Results!$E$2:$G$69,3,FALSE)</f>
        <v/>
      </c>
      <c r="E63" s="7" t="str">
        <f>VLOOKUP($C63,Results!$E$2:$M$69,2,FALSE)</f>
        <v>Select</v>
      </c>
      <c r="F63" s="15" t="str">
        <f t="shared" si="0"/>
        <v/>
      </c>
      <c r="G63" s="15">
        <f t="shared" si="1"/>
        <v>0</v>
      </c>
      <c r="H63" s="15">
        <f t="shared" si="2"/>
        <v>0</v>
      </c>
      <c r="I63" s="15">
        <f t="shared" si="3"/>
        <v>0</v>
      </c>
      <c r="J63" s="15">
        <f t="shared" si="4"/>
        <v>0</v>
      </c>
      <c r="K63" s="15">
        <f t="shared" si="5"/>
        <v>0</v>
      </c>
      <c r="L63" s="15">
        <f t="shared" si="6"/>
        <v>0</v>
      </c>
    </row>
    <row r="64" spans="1:12" x14ac:dyDescent="0.25">
      <c r="A64" s="16" t="str">
        <f t="shared" si="7"/>
        <v/>
      </c>
      <c r="B64" s="8"/>
      <c r="C64" s="8" t="s">
        <v>41</v>
      </c>
      <c r="D64" s="6" t="str">
        <f>VLOOKUP(C64,Results!$E$2:$G$69,3,FALSE)</f>
        <v/>
      </c>
      <c r="E64" s="7" t="str">
        <f>VLOOKUP($C64,Results!$E$2:$M$69,2,FALSE)</f>
        <v>Select</v>
      </c>
      <c r="F64" s="15" t="str">
        <f t="shared" si="0"/>
        <v/>
      </c>
      <c r="G64" s="15">
        <f t="shared" si="1"/>
        <v>0</v>
      </c>
      <c r="H64" s="15">
        <f t="shared" si="2"/>
        <v>0</v>
      </c>
      <c r="I64" s="15">
        <f t="shared" si="3"/>
        <v>0</v>
      </c>
      <c r="J64" s="15">
        <f t="shared" si="4"/>
        <v>0</v>
      </c>
      <c r="K64" s="15">
        <f t="shared" si="5"/>
        <v>0</v>
      </c>
      <c r="L64" s="15">
        <f t="shared" si="6"/>
        <v>0</v>
      </c>
    </row>
    <row r="65" spans="1:12" x14ac:dyDescent="0.25">
      <c r="A65" s="16" t="str">
        <f t="shared" si="7"/>
        <v/>
      </c>
      <c r="B65" s="8"/>
      <c r="C65" s="8" t="s">
        <v>37</v>
      </c>
      <c r="D65" s="6" t="str">
        <f>VLOOKUP(C65,Results!$E$2:$G$69,3,FALSE)</f>
        <v/>
      </c>
      <c r="E65" s="7" t="str">
        <f>VLOOKUP($C65,Results!$E$2:$M$69,2,FALSE)</f>
        <v>Select</v>
      </c>
      <c r="F65" s="15" t="str">
        <f t="shared" si="0"/>
        <v/>
      </c>
      <c r="G65" s="15">
        <f t="shared" si="1"/>
        <v>0</v>
      </c>
      <c r="H65" s="15">
        <f t="shared" si="2"/>
        <v>0</v>
      </c>
      <c r="I65" s="15">
        <f t="shared" si="3"/>
        <v>0</v>
      </c>
      <c r="J65" s="15">
        <f t="shared" si="4"/>
        <v>0</v>
      </c>
      <c r="K65" s="15">
        <f t="shared" si="5"/>
        <v>0</v>
      </c>
      <c r="L65" s="15">
        <f t="shared" si="6"/>
        <v>0</v>
      </c>
    </row>
    <row r="66" spans="1:12" x14ac:dyDescent="0.25">
      <c r="A66" s="16" t="str">
        <f t="shared" si="7"/>
        <v/>
      </c>
      <c r="B66" s="8"/>
      <c r="C66" s="8" t="s">
        <v>13</v>
      </c>
      <c r="D66" s="6" t="str">
        <f>VLOOKUP(C66,Results!$E$2:$G$69,3,FALSE)</f>
        <v/>
      </c>
      <c r="E66" s="7" t="str">
        <f>VLOOKUP($C66,Results!$E$2:$M$69,2,FALSE)</f>
        <v>Select</v>
      </c>
      <c r="F66" s="15" t="str">
        <f t="shared" si="0"/>
        <v/>
      </c>
      <c r="G66" s="15">
        <f t="shared" si="1"/>
        <v>0</v>
      </c>
      <c r="H66" s="15">
        <f t="shared" si="2"/>
        <v>0</v>
      </c>
      <c r="I66" s="15">
        <f t="shared" si="3"/>
        <v>0</v>
      </c>
      <c r="J66" s="15">
        <f t="shared" si="4"/>
        <v>0</v>
      </c>
      <c r="K66" s="15">
        <f t="shared" si="5"/>
        <v>0</v>
      </c>
      <c r="L66" s="15">
        <f t="shared" si="6"/>
        <v>0</v>
      </c>
    </row>
    <row r="67" spans="1:12" x14ac:dyDescent="0.25">
      <c r="A67" s="16" t="str">
        <f t="shared" si="7"/>
        <v/>
      </c>
      <c r="B67" s="8"/>
      <c r="C67" s="8" t="s">
        <v>48</v>
      </c>
      <c r="D67" s="6" t="str">
        <f>VLOOKUP(C67,Results!$E$2:$G$69,3,FALSE)</f>
        <v/>
      </c>
      <c r="E67" s="7" t="str">
        <f>VLOOKUP($C67,Results!$E$2:$M$69,2,FALSE)</f>
        <v>Select</v>
      </c>
      <c r="F67" s="15" t="str">
        <f t="shared" ref="F67:F69" si="8">IF($E67="Lost First Four", "", IF(D67="1st Four",$B67,""))</f>
        <v/>
      </c>
      <c r="G67" s="15">
        <f t="shared" ref="G67:G69" si="9">IF($E67="Lost First Four", "", IF($E67="Lost 2nd Round", "", $B67))</f>
        <v>0</v>
      </c>
      <c r="H67" s="15">
        <f t="shared" ref="H67:H69" si="10">IF($E67="Lost First Four", "", IF($E67="Lost 2nd Round", "", IF($E67="Lost 3rd Round", "", $B67)))</f>
        <v>0</v>
      </c>
      <c r="I67" s="15">
        <f t="shared" ref="I67:I69" si="11">IF($E67="Lost First Four", "", IF($E67="Lost 2nd Round", "", IF($E67="Lost 3rd Round", "", IF($E67="Lost 4th Round", "", $B67))))</f>
        <v>0</v>
      </c>
      <c r="J67" s="15">
        <f t="shared" ref="J67:J69" si="12">IF($E67="Lost First Four", "", IF($E67="Lost 2nd Round", "", IF($E67="Lost 3rd Round", "", IF($E67="Lost 4th Round", "", IF($E67="Lost 5th Round", "", $B67)))))</f>
        <v>0</v>
      </c>
      <c r="K67" s="15">
        <f t="shared" ref="K67:K69" si="13">IF($E67="Lost First Four", "", IF($E67="Lost 2nd Round", "", IF($E67="Lost 3rd Round", "", IF($E67="Lost 4th Round", "", IF($E67="Lost 5th Round", "", IF($E67="Lost Final Four", "", $B67))))))</f>
        <v>0</v>
      </c>
      <c r="L67" s="15">
        <f t="shared" ref="L67:L69" si="14">IF($E67="Lost First Four", "", IF($E67="Lost 2nd Round", "", IF($E67="Lost 3rd Round", "", IF($E67="Lost 4th Round", "", IF($E67="Lost 5th Round", "", IF($E67="Lost Final Four", "", IF($E67="Lost Championship", "", $B67)))))))</f>
        <v>0</v>
      </c>
    </row>
    <row r="68" spans="1:12" x14ac:dyDescent="0.25">
      <c r="A68" s="16" t="str">
        <f t="shared" ref="A68:A69" si="15">IF(B68="","", IF(B68=B67,"Duplicate",IF(B68&gt;(B67+1),"Missing","")))</f>
        <v/>
      </c>
      <c r="B68" s="8"/>
      <c r="C68" s="8" t="s">
        <v>58</v>
      </c>
      <c r="D68" s="6" t="str">
        <f>VLOOKUP(C68,Results!$E$2:$G$69,3,FALSE)</f>
        <v/>
      </c>
      <c r="E68" s="7" t="str">
        <f>VLOOKUP($C68,Results!$E$2:$M$69,2,FALSE)</f>
        <v>Select</v>
      </c>
      <c r="F68" s="15" t="str">
        <f t="shared" si="8"/>
        <v/>
      </c>
      <c r="G68" s="15">
        <f t="shared" si="9"/>
        <v>0</v>
      </c>
      <c r="H68" s="15">
        <f t="shared" si="10"/>
        <v>0</v>
      </c>
      <c r="I68" s="15">
        <f t="shared" si="11"/>
        <v>0</v>
      </c>
      <c r="J68" s="15">
        <f t="shared" si="12"/>
        <v>0</v>
      </c>
      <c r="K68" s="15">
        <f t="shared" si="13"/>
        <v>0</v>
      </c>
      <c r="L68" s="15">
        <f t="shared" si="14"/>
        <v>0</v>
      </c>
    </row>
    <row r="69" spans="1:12" x14ac:dyDescent="0.25">
      <c r="A69" s="16" t="str">
        <f t="shared" si="15"/>
        <v/>
      </c>
      <c r="B69" s="8"/>
      <c r="C69" s="8" t="s">
        <v>50</v>
      </c>
      <c r="D69" s="6" t="str">
        <f>VLOOKUP(C69,Results!$E$2:$G$69,3,FALSE)</f>
        <v/>
      </c>
      <c r="E69" s="7" t="str">
        <f>VLOOKUP($C69,Results!$E$2:$M$69,2,FALSE)</f>
        <v>Select</v>
      </c>
      <c r="F69" s="15" t="str">
        <f t="shared" si="8"/>
        <v/>
      </c>
      <c r="G69" s="15">
        <f t="shared" si="9"/>
        <v>0</v>
      </c>
      <c r="H69" s="15">
        <f t="shared" si="10"/>
        <v>0</v>
      </c>
      <c r="I69" s="15">
        <f t="shared" si="11"/>
        <v>0</v>
      </c>
      <c r="J69" s="15">
        <f t="shared" si="12"/>
        <v>0</v>
      </c>
      <c r="K69" s="15">
        <f t="shared" si="13"/>
        <v>0</v>
      </c>
      <c r="L69" s="15">
        <f t="shared" si="14"/>
        <v>0</v>
      </c>
    </row>
    <row r="70" spans="1:12" x14ac:dyDescent="0.25">
      <c r="F70" s="6">
        <f>SUM(F2:F69)</f>
        <v>0</v>
      </c>
      <c r="G70" s="6">
        <f t="shared" ref="G70:L70" si="16">SUM(G2:G69)</f>
        <v>0</v>
      </c>
      <c r="H70" s="6">
        <f t="shared" si="16"/>
        <v>0</v>
      </c>
      <c r="I70" s="6">
        <f t="shared" si="16"/>
        <v>0</v>
      </c>
      <c r="J70" s="6">
        <f t="shared" si="16"/>
        <v>0</v>
      </c>
      <c r="K70" s="6">
        <f t="shared" si="16"/>
        <v>0</v>
      </c>
      <c r="L70" s="6">
        <f t="shared" si="16"/>
        <v>0</v>
      </c>
    </row>
    <row r="74" spans="1:12" x14ac:dyDescent="0.25">
      <c r="B74" s="9" t="str">
        <f>F1</f>
        <v>The First Four</v>
      </c>
      <c r="C74" s="9" t="str">
        <f>IF(E74=4, F70,"")</f>
        <v/>
      </c>
      <c r="E74" s="6">
        <f>COUNTIF(E2:E69, "Lost First Four")</f>
        <v>0</v>
      </c>
    </row>
    <row r="75" spans="1:12" x14ac:dyDescent="0.25">
      <c r="B75" s="9" t="str">
        <f>G1</f>
        <v>2nd Round</v>
      </c>
      <c r="C75" s="9" t="str">
        <f>IF(E75=32, G70,"")</f>
        <v/>
      </c>
      <c r="E75" s="6">
        <f>COUNTIF($E$2:$E$69, "Lost 2nd Round")</f>
        <v>0</v>
      </c>
    </row>
    <row r="76" spans="1:12" x14ac:dyDescent="0.25">
      <c r="B76" s="9" t="str">
        <f>H1</f>
        <v>3rd Round</v>
      </c>
      <c r="C76" s="9" t="str">
        <f>IF(E76=16, H70,"")</f>
        <v/>
      </c>
      <c r="E76" s="6">
        <f>COUNTIF($E$2:$E$69, "Lost 3rd Round")</f>
        <v>0</v>
      </c>
    </row>
    <row r="77" spans="1:12" x14ac:dyDescent="0.25">
      <c r="B77" s="9" t="str">
        <f>I1</f>
        <v>4th Round</v>
      </c>
      <c r="C77" s="9" t="str">
        <f>IF(E77=8, I70,"")</f>
        <v/>
      </c>
      <c r="E77" s="6">
        <f>COUNTIF($E$2:$E$69, "Lost 4th Round")</f>
        <v>0</v>
      </c>
    </row>
    <row r="78" spans="1:12" x14ac:dyDescent="0.25">
      <c r="B78" s="9" t="str">
        <f>J1</f>
        <v>5th Round</v>
      </c>
      <c r="C78" s="9" t="str">
        <f>IF(E78=4, J70,"")</f>
        <v/>
      </c>
      <c r="E78" s="6">
        <f>COUNTIF($E$2:$E$69, "Lost 5th Round")</f>
        <v>0</v>
      </c>
    </row>
    <row r="79" spans="1:12" x14ac:dyDescent="0.25">
      <c r="B79" s="9" t="str">
        <f>K1</f>
        <v>Final Four</v>
      </c>
      <c r="C79" s="9" t="str">
        <f>IF(E79=2, K70,"")</f>
        <v/>
      </c>
      <c r="E79" s="6">
        <f>COUNTIF($E$2:$E$69, "Lost Final Four")</f>
        <v>0</v>
      </c>
    </row>
    <row r="80" spans="1:12" x14ac:dyDescent="0.25">
      <c r="B80" s="9" t="str">
        <f>L1</f>
        <v>Championship</v>
      </c>
      <c r="C80" s="9" t="str">
        <f>IF(E80=1, L70,"")</f>
        <v/>
      </c>
      <c r="E80" s="6">
        <f>COUNTIF($E$2:$E$69, "Lost Championship")</f>
        <v>0</v>
      </c>
    </row>
    <row r="81" spans="3:11" x14ac:dyDescent="0.25">
      <c r="C81" s="6">
        <f>SUM(C74:C80)</f>
        <v>0</v>
      </c>
      <c r="G81" s="2"/>
      <c r="H81" s="2"/>
      <c r="I81" s="2"/>
      <c r="J81" s="2"/>
      <c r="K81" s="2"/>
    </row>
  </sheetData>
  <sheetProtection password="CC28" sheet="1" objects="1" scenarios="1"/>
  <sortState ref="B2:C69">
    <sortCondition ref="B2:B69"/>
    <sortCondition ref="C2:C69"/>
  </sortState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81"/>
  <sheetViews>
    <sheetView workbookViewId="0">
      <pane ySplit="1" topLeftCell="A2" activePane="bottomLeft" state="frozen"/>
      <selection pane="bottomLeft" activeCell="B6" sqref="B6"/>
    </sheetView>
  </sheetViews>
  <sheetFormatPr defaultRowHeight="15" x14ac:dyDescent="0.25"/>
  <cols>
    <col min="1" max="1" width="19.140625" style="17" customWidth="1"/>
    <col min="2" max="3" width="19.42578125" style="6"/>
    <col min="4" max="4" width="19.42578125" style="2" hidden="1" customWidth="1"/>
    <col min="5" max="11" width="19.42578125" style="6" hidden="1" customWidth="1"/>
    <col min="12" max="13" width="19.42578125" style="2" hidden="1" customWidth="1"/>
    <col min="14" max="15" width="13" style="2" customWidth="1"/>
    <col min="16" max="16384" width="9.140625" style="2"/>
  </cols>
  <sheetData>
    <row r="1" spans="1:12" x14ac:dyDescent="0.25">
      <c r="B1" s="3" t="s">
        <v>1</v>
      </c>
      <c r="C1" s="3" t="s">
        <v>0</v>
      </c>
      <c r="F1" s="6" t="s">
        <v>2</v>
      </c>
      <c r="G1" s="6" t="s">
        <v>3</v>
      </c>
      <c r="H1" s="6" t="s">
        <v>4</v>
      </c>
      <c r="I1" s="6" t="s">
        <v>5</v>
      </c>
      <c r="J1" s="6" t="s">
        <v>6</v>
      </c>
      <c r="K1" s="6" t="s">
        <v>7</v>
      </c>
      <c r="L1" s="6" t="s">
        <v>8</v>
      </c>
    </row>
    <row r="2" spans="1:12" x14ac:dyDescent="0.25">
      <c r="B2" s="8"/>
      <c r="C2" s="8" t="s">
        <v>60</v>
      </c>
      <c r="D2" s="6" t="str">
        <f>VLOOKUP(C2,Results!$E$2:$G$69,3,FALSE)</f>
        <v/>
      </c>
      <c r="E2" s="7" t="str">
        <f>VLOOKUP($C2,Results!$E$2:$M$69,2,FALSE)</f>
        <v>Select</v>
      </c>
      <c r="F2" s="15" t="str">
        <f>IF($E2="Lost First Four", "", IF(D2="1st Four",$B2,""))</f>
        <v/>
      </c>
      <c r="G2" s="15">
        <f>IF($E2="Lost First Four", "", IF($E2="Lost 2nd Round", "", $B2))</f>
        <v>0</v>
      </c>
      <c r="H2" s="15">
        <f>IF($E2="Lost First Four", "", IF($E2="Lost 2nd Round", "", IF($E2="Lost 3rd Round", "", $B2)))</f>
        <v>0</v>
      </c>
      <c r="I2" s="15">
        <f>IF($E2="Lost First Four", "", IF($E2="Lost 2nd Round", "", IF($E2="Lost 3rd Round", "", IF($E2="Lost 4th Round", "", $B2))))</f>
        <v>0</v>
      </c>
      <c r="J2" s="15">
        <f>IF($E2="Lost First Four", "", IF($E2="Lost 2nd Round", "", IF($E2="Lost 3rd Round", "", IF($E2="Lost 4th Round", "", IF($E2="Lost 5th Round", "", $B2)))))</f>
        <v>0</v>
      </c>
      <c r="K2" s="15">
        <f>IF($E2="Lost First Four", "", IF($E2="Lost 2nd Round", "", IF($E2="Lost 3rd Round", "", IF($E2="Lost 4th Round", "", IF($E2="Lost 5th Round", "", IF($E2="Lost Final Four", "", $B2))))))</f>
        <v>0</v>
      </c>
      <c r="L2" s="15">
        <f>IF($E2="Lost First Four", "", IF($E2="Lost 2nd Round", "", IF($E2="Lost 3rd Round", "", IF($E2="Lost 4th Round", "", IF($E2="Lost 5th Round", "", IF($E2="Lost Final Four", "", IF($E2="Lost Championship", "", $B2)))))))</f>
        <v>0</v>
      </c>
    </row>
    <row r="3" spans="1:12" x14ac:dyDescent="0.25">
      <c r="A3" s="17" t="str">
        <f>IF(B3="","", IF(B3=B2,"Duplicate",IF(B3&gt;(B2+1),"Missing","")))</f>
        <v/>
      </c>
      <c r="B3" s="8"/>
      <c r="C3" s="8" t="s">
        <v>25</v>
      </c>
      <c r="D3" s="6" t="str">
        <f>VLOOKUP(C3,Results!$E$2:$G$69,3,FALSE)</f>
        <v/>
      </c>
      <c r="E3" s="7" t="str">
        <f>VLOOKUP($C3,Results!$E$2:$M$69,2,FALSE)</f>
        <v>Select</v>
      </c>
      <c r="F3" s="15" t="str">
        <f t="shared" ref="F3:F66" si="0">IF($E3="Lost First Four", "", IF(D3="1st Four",$B3,""))</f>
        <v/>
      </c>
      <c r="G3" s="15">
        <f t="shared" ref="G3:G66" si="1">IF($E3="Lost First Four", "", IF($E3="Lost 2nd Round", "", $B3))</f>
        <v>0</v>
      </c>
      <c r="H3" s="15">
        <f t="shared" ref="H3:H66" si="2">IF($E3="Lost First Four", "", IF($E3="Lost 2nd Round", "", IF($E3="Lost 3rd Round", "", $B3)))</f>
        <v>0</v>
      </c>
      <c r="I3" s="15">
        <f t="shared" ref="I3:I66" si="3">IF($E3="Lost First Four", "", IF($E3="Lost 2nd Round", "", IF($E3="Lost 3rd Round", "", IF($E3="Lost 4th Round", "", $B3))))</f>
        <v>0</v>
      </c>
      <c r="J3" s="15">
        <f t="shared" ref="J3:J66" si="4">IF($E3="Lost First Four", "", IF($E3="Lost 2nd Round", "", IF($E3="Lost 3rd Round", "", IF($E3="Lost 4th Round", "", IF($E3="Lost 5th Round", "", $B3)))))</f>
        <v>0</v>
      </c>
      <c r="K3" s="15">
        <f t="shared" ref="K3:K66" si="5">IF($E3="Lost First Four", "", IF($E3="Lost 2nd Round", "", IF($E3="Lost 3rd Round", "", IF($E3="Lost 4th Round", "", IF($E3="Lost 5th Round", "", IF($E3="Lost Final Four", "", $B3))))))</f>
        <v>0</v>
      </c>
      <c r="L3" s="15">
        <f t="shared" ref="L3:L66" si="6">IF($E3="Lost First Four", "", IF($E3="Lost 2nd Round", "", IF($E3="Lost 3rd Round", "", IF($E3="Lost 4th Round", "", IF($E3="Lost 5th Round", "", IF($E3="Lost Final Four", "", IF($E3="Lost Championship", "", $B3)))))))</f>
        <v>0</v>
      </c>
    </row>
    <row r="4" spans="1:12" x14ac:dyDescent="0.25">
      <c r="A4" s="17" t="str">
        <f t="shared" ref="A4:A67" si="7">IF(B4="","", IF(B4=B3,"Duplicate",IF(B4&gt;(B3+1),"Missing","")))</f>
        <v/>
      </c>
      <c r="B4" s="8"/>
      <c r="C4" s="8" t="s">
        <v>47</v>
      </c>
      <c r="D4" s="6" t="str">
        <f>VLOOKUP(C4,Results!$E$2:$G$69,3,FALSE)</f>
        <v/>
      </c>
      <c r="E4" s="7" t="str">
        <f>VLOOKUP($C4,Results!$E$2:$M$69,2,FALSE)</f>
        <v>Select</v>
      </c>
      <c r="F4" s="15" t="str">
        <f t="shared" si="0"/>
        <v/>
      </c>
      <c r="G4" s="15">
        <f t="shared" si="1"/>
        <v>0</v>
      </c>
      <c r="H4" s="15">
        <f t="shared" si="2"/>
        <v>0</v>
      </c>
      <c r="I4" s="15">
        <f t="shared" si="3"/>
        <v>0</v>
      </c>
      <c r="J4" s="15">
        <f t="shared" si="4"/>
        <v>0</v>
      </c>
      <c r="K4" s="15">
        <f t="shared" si="5"/>
        <v>0</v>
      </c>
      <c r="L4" s="15">
        <f t="shared" si="6"/>
        <v>0</v>
      </c>
    </row>
    <row r="5" spans="1:12" x14ac:dyDescent="0.25">
      <c r="A5" s="17" t="str">
        <f t="shared" si="7"/>
        <v/>
      </c>
      <c r="B5" s="8"/>
      <c r="C5" s="8" t="s">
        <v>51</v>
      </c>
      <c r="D5" s="6" t="str">
        <f>VLOOKUP(C5,Results!$E$2:$G$69,3,FALSE)</f>
        <v/>
      </c>
      <c r="E5" s="7" t="str">
        <f>VLOOKUP($C5,Results!$E$2:$M$69,2,FALSE)</f>
        <v>Select</v>
      </c>
      <c r="F5" s="15" t="str">
        <f t="shared" si="0"/>
        <v/>
      </c>
      <c r="G5" s="15">
        <f t="shared" si="1"/>
        <v>0</v>
      </c>
      <c r="H5" s="15">
        <f t="shared" si="2"/>
        <v>0</v>
      </c>
      <c r="I5" s="15">
        <f t="shared" si="3"/>
        <v>0</v>
      </c>
      <c r="J5" s="15">
        <f t="shared" si="4"/>
        <v>0</v>
      </c>
      <c r="K5" s="15">
        <f t="shared" si="5"/>
        <v>0</v>
      </c>
      <c r="L5" s="15">
        <f t="shared" si="6"/>
        <v>0</v>
      </c>
    </row>
    <row r="6" spans="1:12" x14ac:dyDescent="0.25">
      <c r="A6" s="17" t="str">
        <f t="shared" si="7"/>
        <v/>
      </c>
      <c r="B6" s="8"/>
      <c r="C6" s="8" t="s">
        <v>61</v>
      </c>
      <c r="D6" s="6" t="str">
        <f>VLOOKUP(C6,Results!$E$2:$G$69,3,FALSE)</f>
        <v/>
      </c>
      <c r="E6" s="7" t="str">
        <f>VLOOKUP($C6,Results!$E$2:$M$69,2,FALSE)</f>
        <v>Select</v>
      </c>
      <c r="F6" s="15" t="str">
        <f t="shared" si="0"/>
        <v/>
      </c>
      <c r="G6" s="15">
        <f t="shared" si="1"/>
        <v>0</v>
      </c>
      <c r="H6" s="15">
        <f t="shared" si="2"/>
        <v>0</v>
      </c>
      <c r="I6" s="15">
        <f t="shared" si="3"/>
        <v>0</v>
      </c>
      <c r="J6" s="15">
        <f t="shared" si="4"/>
        <v>0</v>
      </c>
      <c r="K6" s="15">
        <f t="shared" si="5"/>
        <v>0</v>
      </c>
      <c r="L6" s="15">
        <f t="shared" si="6"/>
        <v>0</v>
      </c>
    </row>
    <row r="7" spans="1:12" x14ac:dyDescent="0.25">
      <c r="A7" s="17" t="str">
        <f t="shared" si="7"/>
        <v/>
      </c>
      <c r="B7" s="8"/>
      <c r="C7" s="8" t="s">
        <v>72</v>
      </c>
      <c r="D7" s="6" t="str">
        <f>VLOOKUP(C7,Results!$E$2:$G$69,3,FALSE)</f>
        <v>1st Four</v>
      </c>
      <c r="E7" s="7" t="str">
        <f>VLOOKUP($C7,Results!$E$2:$M$69,2,FALSE)</f>
        <v>Select</v>
      </c>
      <c r="F7" s="15">
        <f t="shared" si="0"/>
        <v>0</v>
      </c>
      <c r="G7" s="15">
        <f t="shared" si="1"/>
        <v>0</v>
      </c>
      <c r="H7" s="15">
        <f t="shared" si="2"/>
        <v>0</v>
      </c>
      <c r="I7" s="15">
        <f t="shared" si="3"/>
        <v>0</v>
      </c>
      <c r="J7" s="15">
        <f t="shared" si="4"/>
        <v>0</v>
      </c>
      <c r="K7" s="15">
        <f t="shared" si="5"/>
        <v>0</v>
      </c>
      <c r="L7" s="15">
        <f t="shared" si="6"/>
        <v>0</v>
      </c>
    </row>
    <row r="8" spans="1:12" x14ac:dyDescent="0.25">
      <c r="A8" s="17" t="str">
        <f t="shared" si="7"/>
        <v/>
      </c>
      <c r="B8" s="8"/>
      <c r="C8" s="8" t="s">
        <v>16</v>
      </c>
      <c r="D8" s="6" t="str">
        <f>VLOOKUP(C8,Results!$E$2:$G$69,3,FALSE)</f>
        <v/>
      </c>
      <c r="E8" s="7" t="str">
        <f>VLOOKUP($C8,Results!$E$2:$M$69,2,FALSE)</f>
        <v>Select</v>
      </c>
      <c r="F8" s="15" t="str">
        <f t="shared" si="0"/>
        <v/>
      </c>
      <c r="G8" s="15">
        <f t="shared" si="1"/>
        <v>0</v>
      </c>
      <c r="H8" s="15">
        <f t="shared" si="2"/>
        <v>0</v>
      </c>
      <c r="I8" s="15">
        <f t="shared" si="3"/>
        <v>0</v>
      </c>
      <c r="J8" s="15">
        <f t="shared" si="4"/>
        <v>0</v>
      </c>
      <c r="K8" s="15">
        <f t="shared" si="5"/>
        <v>0</v>
      </c>
      <c r="L8" s="15">
        <f t="shared" si="6"/>
        <v>0</v>
      </c>
    </row>
    <row r="9" spans="1:12" x14ac:dyDescent="0.25">
      <c r="A9" s="17" t="str">
        <f t="shared" si="7"/>
        <v/>
      </c>
      <c r="B9" s="8"/>
      <c r="C9" s="8" t="s">
        <v>14</v>
      </c>
      <c r="D9" s="6" t="str">
        <f>VLOOKUP(C9,Results!$E$2:$G$69,3,FALSE)</f>
        <v/>
      </c>
      <c r="E9" s="7" t="str">
        <f>VLOOKUP($C9,Results!$E$2:$M$69,2,FALSE)</f>
        <v>Select</v>
      </c>
      <c r="F9" s="15" t="str">
        <f t="shared" si="0"/>
        <v/>
      </c>
      <c r="G9" s="15">
        <f t="shared" si="1"/>
        <v>0</v>
      </c>
      <c r="H9" s="15">
        <f t="shared" si="2"/>
        <v>0</v>
      </c>
      <c r="I9" s="15">
        <f t="shared" si="3"/>
        <v>0</v>
      </c>
      <c r="J9" s="15">
        <f t="shared" si="4"/>
        <v>0</v>
      </c>
      <c r="K9" s="15">
        <f t="shared" si="5"/>
        <v>0</v>
      </c>
      <c r="L9" s="15">
        <f t="shared" si="6"/>
        <v>0</v>
      </c>
    </row>
    <row r="10" spans="1:12" x14ac:dyDescent="0.25">
      <c r="A10" s="17" t="str">
        <f t="shared" si="7"/>
        <v/>
      </c>
      <c r="B10" s="8"/>
      <c r="C10" s="8" t="s">
        <v>75</v>
      </c>
      <c r="D10" s="6" t="str">
        <f>VLOOKUP(C10,Results!$E$2:$G$69,3,FALSE)</f>
        <v>1st Four</v>
      </c>
      <c r="E10" s="7" t="str">
        <f>VLOOKUP($C10,Results!$E$2:$M$69,2,FALSE)</f>
        <v>Select</v>
      </c>
      <c r="F10" s="15">
        <f t="shared" si="0"/>
        <v>0</v>
      </c>
      <c r="G10" s="15">
        <f t="shared" si="1"/>
        <v>0</v>
      </c>
      <c r="H10" s="15">
        <f t="shared" si="2"/>
        <v>0</v>
      </c>
      <c r="I10" s="15">
        <f t="shared" si="3"/>
        <v>0</v>
      </c>
      <c r="J10" s="15">
        <f t="shared" si="4"/>
        <v>0</v>
      </c>
      <c r="K10" s="15">
        <f t="shared" si="5"/>
        <v>0</v>
      </c>
      <c r="L10" s="15">
        <f t="shared" si="6"/>
        <v>0</v>
      </c>
    </row>
    <row r="11" spans="1:12" x14ac:dyDescent="0.25">
      <c r="A11" s="17" t="str">
        <f t="shared" si="7"/>
        <v/>
      </c>
      <c r="B11" s="8"/>
      <c r="C11" s="8" t="s">
        <v>39</v>
      </c>
      <c r="D11" s="6" t="str">
        <f>VLOOKUP(C11,Results!$E$2:$G$69,3,FALSE)</f>
        <v/>
      </c>
      <c r="E11" s="7" t="str">
        <f>VLOOKUP($C11,Results!$E$2:$M$69,2,FALSE)</f>
        <v>Select</v>
      </c>
      <c r="F11" s="15" t="str">
        <f t="shared" si="0"/>
        <v/>
      </c>
      <c r="G11" s="15">
        <f t="shared" si="1"/>
        <v>0</v>
      </c>
      <c r="H11" s="15">
        <f t="shared" si="2"/>
        <v>0</v>
      </c>
      <c r="I11" s="15">
        <f t="shared" si="3"/>
        <v>0</v>
      </c>
      <c r="J11" s="15">
        <f t="shared" si="4"/>
        <v>0</v>
      </c>
      <c r="K11" s="15">
        <f t="shared" si="5"/>
        <v>0</v>
      </c>
      <c r="L11" s="15">
        <f t="shared" si="6"/>
        <v>0</v>
      </c>
    </row>
    <row r="12" spans="1:12" x14ac:dyDescent="0.25">
      <c r="A12" s="17" t="str">
        <f t="shared" si="7"/>
        <v/>
      </c>
      <c r="B12" s="8"/>
      <c r="C12" s="8" t="s">
        <v>46</v>
      </c>
      <c r="D12" s="6" t="str">
        <f>VLOOKUP(C12,Results!$E$2:$G$69,3,FALSE)</f>
        <v/>
      </c>
      <c r="E12" s="7" t="str">
        <f>VLOOKUP($C12,Results!$E$2:$M$69,2,FALSE)</f>
        <v>Select</v>
      </c>
      <c r="F12" s="15" t="str">
        <f t="shared" si="0"/>
        <v/>
      </c>
      <c r="G12" s="15">
        <f t="shared" si="1"/>
        <v>0</v>
      </c>
      <c r="H12" s="15">
        <f t="shared" si="2"/>
        <v>0</v>
      </c>
      <c r="I12" s="15">
        <f t="shared" si="3"/>
        <v>0</v>
      </c>
      <c r="J12" s="15">
        <f t="shared" si="4"/>
        <v>0</v>
      </c>
      <c r="K12" s="15">
        <f t="shared" si="5"/>
        <v>0</v>
      </c>
      <c r="L12" s="15">
        <f t="shared" si="6"/>
        <v>0</v>
      </c>
    </row>
    <row r="13" spans="1:12" x14ac:dyDescent="0.25">
      <c r="A13" s="17" t="str">
        <f t="shared" si="7"/>
        <v/>
      </c>
      <c r="B13" s="8"/>
      <c r="C13" s="8" t="s">
        <v>69</v>
      </c>
      <c r="D13" s="6" t="str">
        <f>VLOOKUP(C13,Results!$E$2:$G$69,3,FALSE)</f>
        <v/>
      </c>
      <c r="E13" s="7" t="str">
        <f>VLOOKUP($C13,Results!$E$2:$M$69,2,FALSE)</f>
        <v>Select</v>
      </c>
      <c r="F13" s="15" t="str">
        <f t="shared" si="0"/>
        <v/>
      </c>
      <c r="G13" s="15">
        <f t="shared" si="1"/>
        <v>0</v>
      </c>
      <c r="H13" s="15">
        <f t="shared" si="2"/>
        <v>0</v>
      </c>
      <c r="I13" s="15">
        <f t="shared" si="3"/>
        <v>0</v>
      </c>
      <c r="J13" s="15">
        <f t="shared" si="4"/>
        <v>0</v>
      </c>
      <c r="K13" s="15">
        <f t="shared" si="5"/>
        <v>0</v>
      </c>
      <c r="L13" s="15">
        <f t="shared" si="6"/>
        <v>0</v>
      </c>
    </row>
    <row r="14" spans="1:12" x14ac:dyDescent="0.25">
      <c r="A14" s="17" t="str">
        <f t="shared" si="7"/>
        <v/>
      </c>
      <c r="B14" s="8"/>
      <c r="C14" s="8" t="s">
        <v>34</v>
      </c>
      <c r="D14" s="6" t="str">
        <f>VLOOKUP(C14,Results!$E$2:$G$69,3,FALSE)</f>
        <v>1st Four</v>
      </c>
      <c r="E14" s="7" t="str">
        <f>VLOOKUP($C14,Results!$E$2:$M$69,2,FALSE)</f>
        <v>Select</v>
      </c>
      <c r="F14" s="15">
        <f t="shared" si="0"/>
        <v>0</v>
      </c>
      <c r="G14" s="15">
        <f t="shared" si="1"/>
        <v>0</v>
      </c>
      <c r="H14" s="15">
        <f t="shared" si="2"/>
        <v>0</v>
      </c>
      <c r="I14" s="15">
        <f t="shared" si="3"/>
        <v>0</v>
      </c>
      <c r="J14" s="15">
        <f t="shared" si="4"/>
        <v>0</v>
      </c>
      <c r="K14" s="15">
        <f t="shared" si="5"/>
        <v>0</v>
      </c>
      <c r="L14" s="15">
        <f t="shared" si="6"/>
        <v>0</v>
      </c>
    </row>
    <row r="15" spans="1:12" x14ac:dyDescent="0.25">
      <c r="A15" s="17" t="str">
        <f t="shared" si="7"/>
        <v/>
      </c>
      <c r="B15" s="8"/>
      <c r="C15" s="8" t="s">
        <v>10</v>
      </c>
      <c r="D15" s="6" t="str">
        <f>VLOOKUP(C15,Results!$E$2:$G$69,3,FALSE)</f>
        <v/>
      </c>
      <c r="E15" s="7" t="str">
        <f>VLOOKUP($C15,Results!$E$2:$M$69,2,FALSE)</f>
        <v>Select</v>
      </c>
      <c r="F15" s="15" t="str">
        <f t="shared" si="0"/>
        <v/>
      </c>
      <c r="G15" s="15">
        <f t="shared" si="1"/>
        <v>0</v>
      </c>
      <c r="H15" s="15">
        <f t="shared" si="2"/>
        <v>0</v>
      </c>
      <c r="I15" s="15">
        <f t="shared" si="3"/>
        <v>0</v>
      </c>
      <c r="J15" s="15">
        <f t="shared" si="4"/>
        <v>0</v>
      </c>
      <c r="K15" s="15">
        <f t="shared" si="5"/>
        <v>0</v>
      </c>
      <c r="L15" s="15">
        <f t="shared" si="6"/>
        <v>0</v>
      </c>
    </row>
    <row r="16" spans="1:12" x14ac:dyDescent="0.25">
      <c r="A16" s="17" t="str">
        <f t="shared" si="7"/>
        <v/>
      </c>
      <c r="B16" s="8"/>
      <c r="C16" s="8" t="s">
        <v>66</v>
      </c>
      <c r="D16" s="6" t="str">
        <f>VLOOKUP(C16,Results!$E$2:$G$69,3,FALSE)</f>
        <v/>
      </c>
      <c r="E16" s="7" t="str">
        <f>VLOOKUP($C16,Results!$E$2:$M$69,2,FALSE)</f>
        <v>Select</v>
      </c>
      <c r="F16" s="15" t="str">
        <f t="shared" si="0"/>
        <v/>
      </c>
      <c r="G16" s="15">
        <f t="shared" si="1"/>
        <v>0</v>
      </c>
      <c r="H16" s="15">
        <f t="shared" si="2"/>
        <v>0</v>
      </c>
      <c r="I16" s="15">
        <f t="shared" si="3"/>
        <v>0</v>
      </c>
      <c r="J16" s="15">
        <f t="shared" si="4"/>
        <v>0</v>
      </c>
      <c r="K16" s="15">
        <f t="shared" si="5"/>
        <v>0</v>
      </c>
      <c r="L16" s="15">
        <f t="shared" si="6"/>
        <v>0</v>
      </c>
    </row>
    <row r="17" spans="1:12" x14ac:dyDescent="0.25">
      <c r="A17" s="17" t="str">
        <f t="shared" si="7"/>
        <v/>
      </c>
      <c r="B17" s="8"/>
      <c r="C17" s="8" t="s">
        <v>71</v>
      </c>
      <c r="D17" s="6" t="str">
        <f>VLOOKUP(C17,Results!$E$2:$G$69,3,FALSE)</f>
        <v/>
      </c>
      <c r="E17" s="7" t="str">
        <f>VLOOKUP($C17,Results!$E$2:$M$69,2,FALSE)</f>
        <v>Select</v>
      </c>
      <c r="F17" s="15" t="str">
        <f t="shared" si="0"/>
        <v/>
      </c>
      <c r="G17" s="15">
        <f t="shared" si="1"/>
        <v>0</v>
      </c>
      <c r="H17" s="15">
        <f t="shared" si="2"/>
        <v>0</v>
      </c>
      <c r="I17" s="15">
        <f t="shared" si="3"/>
        <v>0</v>
      </c>
      <c r="J17" s="15">
        <f t="shared" si="4"/>
        <v>0</v>
      </c>
      <c r="K17" s="15">
        <f t="shared" si="5"/>
        <v>0</v>
      </c>
      <c r="L17" s="15">
        <f t="shared" si="6"/>
        <v>0</v>
      </c>
    </row>
    <row r="18" spans="1:12" x14ac:dyDescent="0.25">
      <c r="A18" s="17" t="str">
        <f t="shared" si="7"/>
        <v/>
      </c>
      <c r="B18" s="8"/>
      <c r="C18" s="8" t="s">
        <v>19</v>
      </c>
      <c r="D18" s="6" t="str">
        <f>VLOOKUP(C18,Results!$E$2:$G$69,3,FALSE)</f>
        <v/>
      </c>
      <c r="E18" s="7" t="str">
        <f>VLOOKUP($C18,Results!$E$2:$M$69,2,FALSE)</f>
        <v>Select</v>
      </c>
      <c r="F18" s="15" t="str">
        <f t="shared" si="0"/>
        <v/>
      </c>
      <c r="G18" s="15">
        <f t="shared" si="1"/>
        <v>0</v>
      </c>
      <c r="H18" s="15">
        <f t="shared" si="2"/>
        <v>0</v>
      </c>
      <c r="I18" s="15">
        <f t="shared" si="3"/>
        <v>0</v>
      </c>
      <c r="J18" s="15">
        <f t="shared" si="4"/>
        <v>0</v>
      </c>
      <c r="K18" s="15">
        <f t="shared" si="5"/>
        <v>0</v>
      </c>
      <c r="L18" s="15">
        <f t="shared" si="6"/>
        <v>0</v>
      </c>
    </row>
    <row r="19" spans="1:12" x14ac:dyDescent="0.25">
      <c r="A19" s="17" t="str">
        <f t="shared" si="7"/>
        <v/>
      </c>
      <c r="B19" s="8"/>
      <c r="C19" s="8" t="s">
        <v>31</v>
      </c>
      <c r="D19" s="6" t="str">
        <f>VLOOKUP(C19,Results!$E$2:$G$69,3,FALSE)</f>
        <v/>
      </c>
      <c r="E19" s="7" t="str">
        <f>VLOOKUP($C19,Results!$E$2:$M$69,2,FALSE)</f>
        <v>Select</v>
      </c>
      <c r="F19" s="15" t="str">
        <f t="shared" si="0"/>
        <v/>
      </c>
      <c r="G19" s="15">
        <f t="shared" si="1"/>
        <v>0</v>
      </c>
      <c r="H19" s="15">
        <f t="shared" si="2"/>
        <v>0</v>
      </c>
      <c r="I19" s="15">
        <f t="shared" si="3"/>
        <v>0</v>
      </c>
      <c r="J19" s="15">
        <f t="shared" si="4"/>
        <v>0</v>
      </c>
      <c r="K19" s="15">
        <f t="shared" si="5"/>
        <v>0</v>
      </c>
      <c r="L19" s="15">
        <f t="shared" si="6"/>
        <v>0</v>
      </c>
    </row>
    <row r="20" spans="1:12" x14ac:dyDescent="0.25">
      <c r="A20" s="17" t="str">
        <f t="shared" si="7"/>
        <v/>
      </c>
      <c r="B20" s="8"/>
      <c r="C20" s="8" t="s">
        <v>28</v>
      </c>
      <c r="D20" s="6" t="str">
        <f>VLOOKUP(C20,Results!$E$2:$G$69,3,FALSE)</f>
        <v/>
      </c>
      <c r="E20" s="7" t="str">
        <f>VLOOKUP($C20,Results!$E$2:$M$69,2,FALSE)</f>
        <v>Select</v>
      </c>
      <c r="F20" s="15" t="str">
        <f t="shared" si="0"/>
        <v/>
      </c>
      <c r="G20" s="15">
        <f t="shared" si="1"/>
        <v>0</v>
      </c>
      <c r="H20" s="15">
        <f t="shared" si="2"/>
        <v>0</v>
      </c>
      <c r="I20" s="15">
        <f t="shared" si="3"/>
        <v>0</v>
      </c>
      <c r="J20" s="15">
        <f t="shared" si="4"/>
        <v>0</v>
      </c>
      <c r="K20" s="15">
        <f t="shared" si="5"/>
        <v>0</v>
      </c>
      <c r="L20" s="15">
        <f t="shared" si="6"/>
        <v>0</v>
      </c>
    </row>
    <row r="21" spans="1:12" x14ac:dyDescent="0.25">
      <c r="A21" s="17" t="str">
        <f t="shared" si="7"/>
        <v/>
      </c>
      <c r="B21" s="8"/>
      <c r="C21" s="8" t="s">
        <v>38</v>
      </c>
      <c r="D21" s="6" t="str">
        <f>VLOOKUP(C21,Results!$E$2:$G$69,3,FALSE)</f>
        <v>1st Four</v>
      </c>
      <c r="E21" s="7" t="str">
        <f>VLOOKUP($C21,Results!$E$2:$M$69,2,FALSE)</f>
        <v>Select</v>
      </c>
      <c r="F21" s="15">
        <f t="shared" si="0"/>
        <v>0</v>
      </c>
      <c r="G21" s="15">
        <f t="shared" si="1"/>
        <v>0</v>
      </c>
      <c r="H21" s="15">
        <f t="shared" si="2"/>
        <v>0</v>
      </c>
      <c r="I21" s="15">
        <f t="shared" si="3"/>
        <v>0</v>
      </c>
      <c r="J21" s="15">
        <f t="shared" si="4"/>
        <v>0</v>
      </c>
      <c r="K21" s="15">
        <f t="shared" si="5"/>
        <v>0</v>
      </c>
      <c r="L21" s="15">
        <f t="shared" si="6"/>
        <v>0</v>
      </c>
    </row>
    <row r="22" spans="1:12" x14ac:dyDescent="0.25">
      <c r="A22" s="17" t="str">
        <f t="shared" si="7"/>
        <v/>
      </c>
      <c r="B22" s="8"/>
      <c r="C22" s="8" t="s">
        <v>49</v>
      </c>
      <c r="D22" s="6" t="str">
        <f>VLOOKUP(C22,Results!$E$2:$G$69,3,FALSE)</f>
        <v/>
      </c>
      <c r="E22" s="7" t="str">
        <f>VLOOKUP($C22,Results!$E$2:$M$69,2,FALSE)</f>
        <v>Select</v>
      </c>
      <c r="F22" s="15" t="str">
        <f t="shared" si="0"/>
        <v/>
      </c>
      <c r="G22" s="15">
        <f t="shared" si="1"/>
        <v>0</v>
      </c>
      <c r="H22" s="15">
        <f t="shared" si="2"/>
        <v>0</v>
      </c>
      <c r="I22" s="15">
        <f t="shared" si="3"/>
        <v>0</v>
      </c>
      <c r="J22" s="15">
        <f t="shared" si="4"/>
        <v>0</v>
      </c>
      <c r="K22" s="15">
        <f t="shared" si="5"/>
        <v>0</v>
      </c>
      <c r="L22" s="15">
        <f t="shared" si="6"/>
        <v>0</v>
      </c>
    </row>
    <row r="23" spans="1:12" x14ac:dyDescent="0.25">
      <c r="A23" s="17" t="str">
        <f t="shared" si="7"/>
        <v/>
      </c>
      <c r="B23" s="8"/>
      <c r="C23" s="8" t="s">
        <v>15</v>
      </c>
      <c r="D23" s="6" t="str">
        <f>VLOOKUP(C23,Results!$E$2:$G$69,3,FALSE)</f>
        <v/>
      </c>
      <c r="E23" s="7" t="str">
        <f>VLOOKUP($C23,Results!$E$2:$M$69,2,FALSE)</f>
        <v>Select</v>
      </c>
      <c r="F23" s="15" t="str">
        <f t="shared" si="0"/>
        <v/>
      </c>
      <c r="G23" s="15">
        <f t="shared" si="1"/>
        <v>0</v>
      </c>
      <c r="H23" s="15">
        <f t="shared" si="2"/>
        <v>0</v>
      </c>
      <c r="I23" s="15">
        <f t="shared" si="3"/>
        <v>0</v>
      </c>
      <c r="J23" s="15">
        <f t="shared" si="4"/>
        <v>0</v>
      </c>
      <c r="K23" s="15">
        <f t="shared" si="5"/>
        <v>0</v>
      </c>
      <c r="L23" s="15">
        <f t="shared" si="6"/>
        <v>0</v>
      </c>
    </row>
    <row r="24" spans="1:12" x14ac:dyDescent="0.25">
      <c r="A24" s="17" t="str">
        <f t="shared" si="7"/>
        <v/>
      </c>
      <c r="B24" s="8"/>
      <c r="C24" s="8" t="s">
        <v>35</v>
      </c>
      <c r="D24" s="6" t="str">
        <f>VLOOKUP(C24,Results!$E$2:$G$69,3,FALSE)</f>
        <v/>
      </c>
      <c r="E24" s="7" t="str">
        <f>VLOOKUP($C24,Results!$E$2:$M$69,2,FALSE)</f>
        <v>Select</v>
      </c>
      <c r="F24" s="15" t="str">
        <f t="shared" si="0"/>
        <v/>
      </c>
      <c r="G24" s="15">
        <f t="shared" si="1"/>
        <v>0</v>
      </c>
      <c r="H24" s="15">
        <f t="shared" si="2"/>
        <v>0</v>
      </c>
      <c r="I24" s="15">
        <f t="shared" si="3"/>
        <v>0</v>
      </c>
      <c r="J24" s="15">
        <f t="shared" si="4"/>
        <v>0</v>
      </c>
      <c r="K24" s="15">
        <f t="shared" si="5"/>
        <v>0</v>
      </c>
      <c r="L24" s="15">
        <f t="shared" si="6"/>
        <v>0</v>
      </c>
    </row>
    <row r="25" spans="1:12" x14ac:dyDescent="0.25">
      <c r="A25" s="17" t="str">
        <f t="shared" si="7"/>
        <v/>
      </c>
      <c r="B25" s="8"/>
      <c r="C25" s="8" t="s">
        <v>36</v>
      </c>
      <c r="D25" s="6" t="str">
        <f>VLOOKUP(C25,Results!$E$2:$G$69,3,FALSE)</f>
        <v/>
      </c>
      <c r="E25" s="7" t="str">
        <f>VLOOKUP($C25,Results!$E$2:$M$69,2,FALSE)</f>
        <v>Select</v>
      </c>
      <c r="F25" s="15" t="str">
        <f t="shared" si="0"/>
        <v/>
      </c>
      <c r="G25" s="15">
        <f t="shared" si="1"/>
        <v>0</v>
      </c>
      <c r="H25" s="15">
        <f t="shared" si="2"/>
        <v>0</v>
      </c>
      <c r="I25" s="15">
        <f t="shared" si="3"/>
        <v>0</v>
      </c>
      <c r="J25" s="15">
        <f t="shared" si="4"/>
        <v>0</v>
      </c>
      <c r="K25" s="15">
        <f t="shared" si="5"/>
        <v>0</v>
      </c>
      <c r="L25" s="15">
        <f t="shared" si="6"/>
        <v>0</v>
      </c>
    </row>
    <row r="26" spans="1:12" x14ac:dyDescent="0.25">
      <c r="A26" s="17" t="str">
        <f t="shared" si="7"/>
        <v/>
      </c>
      <c r="B26" s="8"/>
      <c r="C26" s="8" t="s">
        <v>26</v>
      </c>
      <c r="D26" s="6" t="str">
        <f>VLOOKUP(C26,Results!$E$2:$G$69,3,FALSE)</f>
        <v/>
      </c>
      <c r="E26" s="7" t="str">
        <f>VLOOKUP($C26,Results!$E$2:$M$69,2,FALSE)</f>
        <v>Select</v>
      </c>
      <c r="F26" s="15" t="str">
        <f t="shared" si="0"/>
        <v/>
      </c>
      <c r="G26" s="15">
        <f t="shared" si="1"/>
        <v>0</v>
      </c>
      <c r="H26" s="15">
        <f t="shared" si="2"/>
        <v>0</v>
      </c>
      <c r="I26" s="15">
        <f t="shared" si="3"/>
        <v>0</v>
      </c>
      <c r="J26" s="15">
        <f t="shared" si="4"/>
        <v>0</v>
      </c>
      <c r="K26" s="15">
        <f t="shared" si="5"/>
        <v>0</v>
      </c>
      <c r="L26" s="15">
        <f t="shared" si="6"/>
        <v>0</v>
      </c>
    </row>
    <row r="27" spans="1:12" x14ac:dyDescent="0.25">
      <c r="A27" s="17" t="str">
        <f t="shared" si="7"/>
        <v/>
      </c>
      <c r="B27" s="8"/>
      <c r="C27" s="8" t="s">
        <v>9</v>
      </c>
      <c r="D27" s="6" t="str">
        <f>VLOOKUP(C27,Results!$E$2:$G$69,3,FALSE)</f>
        <v/>
      </c>
      <c r="E27" s="7" t="str">
        <f>VLOOKUP($C27,Results!$E$2:$M$69,2,FALSE)</f>
        <v>Select</v>
      </c>
      <c r="F27" s="15" t="str">
        <f t="shared" si="0"/>
        <v/>
      </c>
      <c r="G27" s="15">
        <f t="shared" si="1"/>
        <v>0</v>
      </c>
      <c r="H27" s="15">
        <f t="shared" si="2"/>
        <v>0</v>
      </c>
      <c r="I27" s="15">
        <f t="shared" si="3"/>
        <v>0</v>
      </c>
      <c r="J27" s="15">
        <f t="shared" si="4"/>
        <v>0</v>
      </c>
      <c r="K27" s="15">
        <f t="shared" si="5"/>
        <v>0</v>
      </c>
      <c r="L27" s="15">
        <f t="shared" si="6"/>
        <v>0</v>
      </c>
    </row>
    <row r="28" spans="1:12" x14ac:dyDescent="0.25">
      <c r="A28" s="17" t="str">
        <f t="shared" si="7"/>
        <v/>
      </c>
      <c r="B28" s="8"/>
      <c r="C28" s="8" t="s">
        <v>54</v>
      </c>
      <c r="D28" s="6" t="str">
        <f>VLOOKUP(C28,Results!$E$2:$G$69,3,FALSE)</f>
        <v/>
      </c>
      <c r="E28" s="7" t="str">
        <f>VLOOKUP($C28,Results!$E$2:$M$69,2,FALSE)</f>
        <v>Select</v>
      </c>
      <c r="F28" s="15" t="str">
        <f t="shared" si="0"/>
        <v/>
      </c>
      <c r="G28" s="15">
        <f t="shared" si="1"/>
        <v>0</v>
      </c>
      <c r="H28" s="15">
        <f t="shared" si="2"/>
        <v>0</v>
      </c>
      <c r="I28" s="15">
        <f t="shared" si="3"/>
        <v>0</v>
      </c>
      <c r="J28" s="15">
        <f t="shared" si="4"/>
        <v>0</v>
      </c>
      <c r="K28" s="15">
        <f t="shared" si="5"/>
        <v>0</v>
      </c>
      <c r="L28" s="15">
        <f t="shared" si="6"/>
        <v>0</v>
      </c>
    </row>
    <row r="29" spans="1:12" x14ac:dyDescent="0.25">
      <c r="A29" s="17" t="str">
        <f t="shared" si="7"/>
        <v/>
      </c>
      <c r="B29" s="8"/>
      <c r="C29" s="8" t="s">
        <v>11</v>
      </c>
      <c r="D29" s="6" t="str">
        <f>VLOOKUP(C29,Results!$E$2:$G$69,3,FALSE)</f>
        <v/>
      </c>
      <c r="E29" s="7" t="str">
        <f>VLOOKUP($C29,Results!$E$2:$M$69,2,FALSE)</f>
        <v>Select</v>
      </c>
      <c r="F29" s="15" t="str">
        <f t="shared" si="0"/>
        <v/>
      </c>
      <c r="G29" s="15">
        <f t="shared" si="1"/>
        <v>0</v>
      </c>
      <c r="H29" s="15">
        <f t="shared" si="2"/>
        <v>0</v>
      </c>
      <c r="I29" s="15">
        <f t="shared" si="3"/>
        <v>0</v>
      </c>
      <c r="J29" s="15">
        <f t="shared" si="4"/>
        <v>0</v>
      </c>
      <c r="K29" s="15">
        <f t="shared" si="5"/>
        <v>0</v>
      </c>
      <c r="L29" s="15">
        <f t="shared" si="6"/>
        <v>0</v>
      </c>
    </row>
    <row r="30" spans="1:12" x14ac:dyDescent="0.25">
      <c r="A30" s="17" t="str">
        <f t="shared" si="7"/>
        <v/>
      </c>
      <c r="B30" s="8"/>
      <c r="C30" s="8" t="s">
        <v>56</v>
      </c>
      <c r="D30" s="6" t="str">
        <f>VLOOKUP(C30,Results!$E$2:$G$69,3,FALSE)</f>
        <v/>
      </c>
      <c r="E30" s="7" t="str">
        <f>VLOOKUP($C30,Results!$E$2:$M$69,2,FALSE)</f>
        <v>Select</v>
      </c>
      <c r="F30" s="15" t="str">
        <f t="shared" si="0"/>
        <v/>
      </c>
      <c r="G30" s="15">
        <f t="shared" si="1"/>
        <v>0</v>
      </c>
      <c r="H30" s="15">
        <f t="shared" si="2"/>
        <v>0</v>
      </c>
      <c r="I30" s="15">
        <f t="shared" si="3"/>
        <v>0</v>
      </c>
      <c r="J30" s="15">
        <f t="shared" si="4"/>
        <v>0</v>
      </c>
      <c r="K30" s="15">
        <f t="shared" si="5"/>
        <v>0</v>
      </c>
      <c r="L30" s="15">
        <f t="shared" si="6"/>
        <v>0</v>
      </c>
    </row>
    <row r="31" spans="1:12" x14ac:dyDescent="0.25">
      <c r="A31" s="17" t="str">
        <f t="shared" si="7"/>
        <v/>
      </c>
      <c r="B31" s="8"/>
      <c r="C31" s="8" t="s">
        <v>74</v>
      </c>
      <c r="D31" s="6" t="str">
        <f>VLOOKUP(C31,Results!$E$2:$G$69,3,FALSE)</f>
        <v>1st Four</v>
      </c>
      <c r="E31" s="7" t="str">
        <f>VLOOKUP($C31,Results!$E$2:$M$69,2,FALSE)</f>
        <v>Select</v>
      </c>
      <c r="F31" s="15">
        <f t="shared" si="0"/>
        <v>0</v>
      </c>
      <c r="G31" s="15">
        <f t="shared" si="1"/>
        <v>0</v>
      </c>
      <c r="H31" s="15">
        <f t="shared" si="2"/>
        <v>0</v>
      </c>
      <c r="I31" s="15">
        <f t="shared" si="3"/>
        <v>0</v>
      </c>
      <c r="J31" s="15">
        <f t="shared" si="4"/>
        <v>0</v>
      </c>
      <c r="K31" s="15">
        <f t="shared" si="5"/>
        <v>0</v>
      </c>
      <c r="L31" s="15">
        <f t="shared" si="6"/>
        <v>0</v>
      </c>
    </row>
    <row r="32" spans="1:12" x14ac:dyDescent="0.25">
      <c r="A32" s="17" t="str">
        <f t="shared" si="7"/>
        <v/>
      </c>
      <c r="B32" s="8"/>
      <c r="C32" s="8" t="s">
        <v>42</v>
      </c>
      <c r="D32" s="6" t="str">
        <f>VLOOKUP(C32,Results!$E$2:$G$69,3,FALSE)</f>
        <v/>
      </c>
      <c r="E32" s="7" t="str">
        <f>VLOOKUP($C32,Results!$E$2:$M$69,2,FALSE)</f>
        <v>Select</v>
      </c>
      <c r="F32" s="15" t="str">
        <f t="shared" si="0"/>
        <v/>
      </c>
      <c r="G32" s="15">
        <f t="shared" si="1"/>
        <v>0</v>
      </c>
      <c r="H32" s="15">
        <f t="shared" si="2"/>
        <v>0</v>
      </c>
      <c r="I32" s="15">
        <f t="shared" si="3"/>
        <v>0</v>
      </c>
      <c r="J32" s="15">
        <f t="shared" si="4"/>
        <v>0</v>
      </c>
      <c r="K32" s="15">
        <f t="shared" si="5"/>
        <v>0</v>
      </c>
      <c r="L32" s="15">
        <f t="shared" si="6"/>
        <v>0</v>
      </c>
    </row>
    <row r="33" spans="1:12" x14ac:dyDescent="0.25">
      <c r="A33" s="17" t="str">
        <f t="shared" si="7"/>
        <v/>
      </c>
      <c r="B33" s="8"/>
      <c r="C33" s="8" t="s">
        <v>12</v>
      </c>
      <c r="D33" s="6" t="str">
        <f>VLOOKUP(C33,Results!$E$2:$G$69,3,FALSE)</f>
        <v/>
      </c>
      <c r="E33" s="7" t="str">
        <f>VLOOKUP($C33,Results!$E$2:$M$69,2,FALSE)</f>
        <v>Select</v>
      </c>
      <c r="F33" s="15" t="str">
        <f t="shared" si="0"/>
        <v/>
      </c>
      <c r="G33" s="15">
        <f t="shared" si="1"/>
        <v>0</v>
      </c>
      <c r="H33" s="15">
        <f t="shared" si="2"/>
        <v>0</v>
      </c>
      <c r="I33" s="15">
        <f t="shared" si="3"/>
        <v>0</v>
      </c>
      <c r="J33" s="15">
        <f t="shared" si="4"/>
        <v>0</v>
      </c>
      <c r="K33" s="15">
        <f t="shared" si="5"/>
        <v>0</v>
      </c>
      <c r="L33" s="15">
        <f t="shared" si="6"/>
        <v>0</v>
      </c>
    </row>
    <row r="34" spans="1:12" x14ac:dyDescent="0.25">
      <c r="A34" s="17" t="str">
        <f t="shared" si="7"/>
        <v/>
      </c>
      <c r="B34" s="8"/>
      <c r="C34" s="8" t="s">
        <v>55</v>
      </c>
      <c r="D34" s="6" t="str">
        <f>VLOOKUP(C34,Results!$E$2:$G$69,3,FALSE)</f>
        <v/>
      </c>
      <c r="E34" s="7" t="str">
        <f>VLOOKUP($C34,Results!$E$2:$M$69,2,FALSE)</f>
        <v>Select</v>
      </c>
      <c r="F34" s="15" t="str">
        <f t="shared" si="0"/>
        <v/>
      </c>
      <c r="G34" s="15">
        <f t="shared" si="1"/>
        <v>0</v>
      </c>
      <c r="H34" s="15">
        <f t="shared" si="2"/>
        <v>0</v>
      </c>
      <c r="I34" s="15">
        <f t="shared" si="3"/>
        <v>0</v>
      </c>
      <c r="J34" s="15">
        <f t="shared" si="4"/>
        <v>0</v>
      </c>
      <c r="K34" s="15">
        <f t="shared" si="5"/>
        <v>0</v>
      </c>
      <c r="L34" s="15">
        <f t="shared" si="6"/>
        <v>0</v>
      </c>
    </row>
    <row r="35" spans="1:12" x14ac:dyDescent="0.25">
      <c r="A35" s="17" t="str">
        <f t="shared" si="7"/>
        <v/>
      </c>
      <c r="B35" s="8"/>
      <c r="C35" s="8" t="s">
        <v>45</v>
      </c>
      <c r="D35" s="6" t="str">
        <f>VLOOKUP(C35,Results!$E$2:$G$69,3,FALSE)</f>
        <v/>
      </c>
      <c r="E35" s="7" t="str">
        <f>VLOOKUP($C35,Results!$E$2:$M$69,2,FALSE)</f>
        <v>Select</v>
      </c>
      <c r="F35" s="15" t="str">
        <f t="shared" si="0"/>
        <v/>
      </c>
      <c r="G35" s="15">
        <f t="shared" si="1"/>
        <v>0</v>
      </c>
      <c r="H35" s="15">
        <f t="shared" si="2"/>
        <v>0</v>
      </c>
      <c r="I35" s="15">
        <f t="shared" si="3"/>
        <v>0</v>
      </c>
      <c r="J35" s="15">
        <f t="shared" si="4"/>
        <v>0</v>
      </c>
      <c r="K35" s="15">
        <f t="shared" si="5"/>
        <v>0</v>
      </c>
      <c r="L35" s="15">
        <f t="shared" si="6"/>
        <v>0</v>
      </c>
    </row>
    <row r="36" spans="1:12" x14ac:dyDescent="0.25">
      <c r="A36" s="17" t="str">
        <f t="shared" si="7"/>
        <v/>
      </c>
      <c r="B36" s="8"/>
      <c r="C36" s="8" t="s">
        <v>18</v>
      </c>
      <c r="D36" s="6" t="str">
        <f>VLOOKUP(C36,Results!$E$2:$G$69,3,FALSE)</f>
        <v/>
      </c>
      <c r="E36" s="7" t="str">
        <f>VLOOKUP($C36,Results!$E$2:$M$69,2,FALSE)</f>
        <v>Select</v>
      </c>
      <c r="F36" s="15" t="str">
        <f t="shared" si="0"/>
        <v/>
      </c>
      <c r="G36" s="15">
        <f t="shared" si="1"/>
        <v>0</v>
      </c>
      <c r="H36" s="15">
        <f t="shared" si="2"/>
        <v>0</v>
      </c>
      <c r="I36" s="15">
        <f t="shared" si="3"/>
        <v>0</v>
      </c>
      <c r="J36" s="15">
        <f t="shared" si="4"/>
        <v>0</v>
      </c>
      <c r="K36" s="15">
        <f t="shared" si="5"/>
        <v>0</v>
      </c>
      <c r="L36" s="15">
        <f t="shared" si="6"/>
        <v>0</v>
      </c>
    </row>
    <row r="37" spans="1:12" x14ac:dyDescent="0.25">
      <c r="A37" s="17" t="str">
        <f t="shared" si="7"/>
        <v/>
      </c>
      <c r="B37" s="8"/>
      <c r="C37" s="8" t="s">
        <v>70</v>
      </c>
      <c r="D37" s="6" t="str">
        <f>VLOOKUP(C37,Results!$E$2:$G$69,3,FALSE)</f>
        <v/>
      </c>
      <c r="E37" s="7" t="str">
        <f>VLOOKUP($C37,Results!$E$2:$M$69,2,FALSE)</f>
        <v>Select</v>
      </c>
      <c r="F37" s="15" t="str">
        <f t="shared" si="0"/>
        <v/>
      </c>
      <c r="G37" s="15">
        <f t="shared" si="1"/>
        <v>0</v>
      </c>
      <c r="H37" s="15">
        <f t="shared" si="2"/>
        <v>0</v>
      </c>
      <c r="I37" s="15">
        <f t="shared" si="3"/>
        <v>0</v>
      </c>
      <c r="J37" s="15">
        <f t="shared" si="4"/>
        <v>0</v>
      </c>
      <c r="K37" s="15">
        <f t="shared" si="5"/>
        <v>0</v>
      </c>
      <c r="L37" s="15">
        <f t="shared" si="6"/>
        <v>0</v>
      </c>
    </row>
    <row r="38" spans="1:12" x14ac:dyDescent="0.25">
      <c r="A38" s="17" t="str">
        <f t="shared" si="7"/>
        <v/>
      </c>
      <c r="B38" s="8"/>
      <c r="C38" s="8" t="s">
        <v>73</v>
      </c>
      <c r="D38" s="6" t="str">
        <f>VLOOKUP(C38,Results!$E$2:$G$69,3,FALSE)</f>
        <v>1st Four</v>
      </c>
      <c r="E38" s="7" t="str">
        <f>VLOOKUP($C38,Results!$E$2:$M$69,2,FALSE)</f>
        <v>Select</v>
      </c>
      <c r="F38" s="15">
        <f t="shared" si="0"/>
        <v>0</v>
      </c>
      <c r="G38" s="15">
        <f t="shared" si="1"/>
        <v>0</v>
      </c>
      <c r="H38" s="15">
        <f t="shared" si="2"/>
        <v>0</v>
      </c>
      <c r="I38" s="15">
        <f t="shared" si="3"/>
        <v>0</v>
      </c>
      <c r="J38" s="15">
        <f t="shared" si="4"/>
        <v>0</v>
      </c>
      <c r="K38" s="15">
        <f t="shared" si="5"/>
        <v>0</v>
      </c>
      <c r="L38" s="15">
        <f t="shared" si="6"/>
        <v>0</v>
      </c>
    </row>
    <row r="39" spans="1:12" x14ac:dyDescent="0.25">
      <c r="A39" s="17" t="str">
        <f t="shared" si="7"/>
        <v/>
      </c>
      <c r="B39" s="8"/>
      <c r="C39" s="8" t="s">
        <v>44</v>
      </c>
      <c r="D39" s="6" t="str">
        <f>VLOOKUP(C39,Results!$E$2:$G$69,3,FALSE)</f>
        <v/>
      </c>
      <c r="E39" s="7" t="str">
        <f>VLOOKUP($C39,Results!$E$2:$M$69,2,FALSE)</f>
        <v>Select</v>
      </c>
      <c r="F39" s="15" t="str">
        <f t="shared" si="0"/>
        <v/>
      </c>
      <c r="G39" s="15">
        <f t="shared" si="1"/>
        <v>0</v>
      </c>
      <c r="H39" s="15">
        <f t="shared" si="2"/>
        <v>0</v>
      </c>
      <c r="I39" s="15">
        <f t="shared" si="3"/>
        <v>0</v>
      </c>
      <c r="J39" s="15">
        <f t="shared" si="4"/>
        <v>0</v>
      </c>
      <c r="K39" s="15">
        <f t="shared" si="5"/>
        <v>0</v>
      </c>
      <c r="L39" s="15">
        <f t="shared" si="6"/>
        <v>0</v>
      </c>
    </row>
    <row r="40" spans="1:12" x14ac:dyDescent="0.25">
      <c r="A40" s="17" t="str">
        <f t="shared" si="7"/>
        <v/>
      </c>
      <c r="B40" s="8"/>
      <c r="C40" s="8" t="s">
        <v>57</v>
      </c>
      <c r="D40" s="6" t="str">
        <f>VLOOKUP(C40,Results!$E$2:$G$69,3,FALSE)</f>
        <v/>
      </c>
      <c r="E40" s="7" t="str">
        <f>VLOOKUP($C40,Results!$E$2:$M$69,2,FALSE)</f>
        <v>Select</v>
      </c>
      <c r="F40" s="15" t="str">
        <f t="shared" si="0"/>
        <v/>
      </c>
      <c r="G40" s="15">
        <f t="shared" si="1"/>
        <v>0</v>
      </c>
      <c r="H40" s="15">
        <f t="shared" si="2"/>
        <v>0</v>
      </c>
      <c r="I40" s="15">
        <f t="shared" si="3"/>
        <v>0</v>
      </c>
      <c r="J40" s="15">
        <f t="shared" si="4"/>
        <v>0</v>
      </c>
      <c r="K40" s="15">
        <f t="shared" si="5"/>
        <v>0</v>
      </c>
      <c r="L40" s="15">
        <f t="shared" si="6"/>
        <v>0</v>
      </c>
    </row>
    <row r="41" spans="1:12" x14ac:dyDescent="0.25">
      <c r="A41" s="17" t="str">
        <f t="shared" si="7"/>
        <v/>
      </c>
      <c r="B41" s="8"/>
      <c r="C41" s="8" t="s">
        <v>30</v>
      </c>
      <c r="D41" s="6" t="str">
        <f>VLOOKUP(C41,Results!$E$2:$G$69,3,FALSE)</f>
        <v/>
      </c>
      <c r="E41" s="7" t="str">
        <f>VLOOKUP($C41,Results!$E$2:$M$69,2,FALSE)</f>
        <v>Select</v>
      </c>
      <c r="F41" s="15" t="str">
        <f t="shared" si="0"/>
        <v/>
      </c>
      <c r="G41" s="15">
        <f t="shared" si="1"/>
        <v>0</v>
      </c>
      <c r="H41" s="15">
        <f t="shared" si="2"/>
        <v>0</v>
      </c>
      <c r="I41" s="15">
        <f t="shared" si="3"/>
        <v>0</v>
      </c>
      <c r="J41" s="15">
        <f t="shared" si="4"/>
        <v>0</v>
      </c>
      <c r="K41" s="15">
        <f t="shared" si="5"/>
        <v>0</v>
      </c>
      <c r="L41" s="15">
        <f t="shared" si="6"/>
        <v>0</v>
      </c>
    </row>
    <row r="42" spans="1:12" x14ac:dyDescent="0.25">
      <c r="A42" s="17" t="str">
        <f t="shared" si="7"/>
        <v/>
      </c>
      <c r="B42" s="8"/>
      <c r="C42" s="8" t="s">
        <v>29</v>
      </c>
      <c r="D42" s="6" t="str">
        <f>VLOOKUP(C42,Results!$E$2:$G$69,3,FALSE)</f>
        <v/>
      </c>
      <c r="E42" s="7" t="str">
        <f>VLOOKUP($C42,Results!$E$2:$M$69,2,FALSE)</f>
        <v>Select</v>
      </c>
      <c r="F42" s="15" t="str">
        <f t="shared" si="0"/>
        <v/>
      </c>
      <c r="G42" s="15">
        <f t="shared" si="1"/>
        <v>0</v>
      </c>
      <c r="H42" s="15">
        <f t="shared" si="2"/>
        <v>0</v>
      </c>
      <c r="I42" s="15">
        <f t="shared" si="3"/>
        <v>0</v>
      </c>
      <c r="J42" s="15">
        <f t="shared" si="4"/>
        <v>0</v>
      </c>
      <c r="K42" s="15">
        <f t="shared" si="5"/>
        <v>0</v>
      </c>
      <c r="L42" s="15">
        <f t="shared" si="6"/>
        <v>0</v>
      </c>
    </row>
    <row r="43" spans="1:12" x14ac:dyDescent="0.25">
      <c r="A43" s="17" t="str">
        <f t="shared" si="7"/>
        <v/>
      </c>
      <c r="B43" s="8"/>
      <c r="C43" s="8" t="s">
        <v>21</v>
      </c>
      <c r="D43" s="6" t="str">
        <f>VLOOKUP(C43,Results!$E$2:$G$69,3,FALSE)</f>
        <v/>
      </c>
      <c r="E43" s="7" t="str">
        <f>VLOOKUP($C43,Results!$E$2:$M$69,2,FALSE)</f>
        <v>Select</v>
      </c>
      <c r="F43" s="15" t="str">
        <f t="shared" si="0"/>
        <v/>
      </c>
      <c r="G43" s="15">
        <f t="shared" si="1"/>
        <v>0</v>
      </c>
      <c r="H43" s="15">
        <f t="shared" si="2"/>
        <v>0</v>
      </c>
      <c r="I43" s="15">
        <f t="shared" si="3"/>
        <v>0</v>
      </c>
      <c r="J43" s="15">
        <f t="shared" si="4"/>
        <v>0</v>
      </c>
      <c r="K43" s="15">
        <f t="shared" si="5"/>
        <v>0</v>
      </c>
      <c r="L43" s="15">
        <f t="shared" si="6"/>
        <v>0</v>
      </c>
    </row>
    <row r="44" spans="1:12" x14ac:dyDescent="0.25">
      <c r="A44" s="17" t="str">
        <f t="shared" si="7"/>
        <v/>
      </c>
      <c r="B44" s="8"/>
      <c r="C44" s="8" t="s">
        <v>22</v>
      </c>
      <c r="D44" s="6" t="str">
        <f>VLOOKUP(C44,Results!$E$2:$G$69,3,FALSE)</f>
        <v/>
      </c>
      <c r="E44" s="7" t="str">
        <f>VLOOKUP($C44,Results!$E$2:$M$69,2,FALSE)</f>
        <v>Select</v>
      </c>
      <c r="F44" s="15" t="str">
        <f t="shared" si="0"/>
        <v/>
      </c>
      <c r="G44" s="15">
        <f t="shared" si="1"/>
        <v>0</v>
      </c>
      <c r="H44" s="15">
        <f t="shared" si="2"/>
        <v>0</v>
      </c>
      <c r="I44" s="15">
        <f t="shared" si="3"/>
        <v>0</v>
      </c>
      <c r="J44" s="15">
        <f t="shared" si="4"/>
        <v>0</v>
      </c>
      <c r="K44" s="15">
        <f t="shared" si="5"/>
        <v>0</v>
      </c>
      <c r="L44" s="15">
        <f t="shared" si="6"/>
        <v>0</v>
      </c>
    </row>
    <row r="45" spans="1:12" x14ac:dyDescent="0.25">
      <c r="A45" s="17" t="str">
        <f t="shared" si="7"/>
        <v/>
      </c>
      <c r="B45" s="8"/>
      <c r="C45" s="8" t="s">
        <v>32</v>
      </c>
      <c r="D45" s="6" t="str">
        <f>VLOOKUP(C45,Results!$E$2:$G$69,3,FALSE)</f>
        <v>1st Four</v>
      </c>
      <c r="E45" s="7" t="str">
        <f>VLOOKUP($C45,Results!$E$2:$M$69,2,FALSE)</f>
        <v>Select</v>
      </c>
      <c r="F45" s="15">
        <f t="shared" si="0"/>
        <v>0</v>
      </c>
      <c r="G45" s="15">
        <f t="shared" si="1"/>
        <v>0</v>
      </c>
      <c r="H45" s="15">
        <f t="shared" si="2"/>
        <v>0</v>
      </c>
      <c r="I45" s="15">
        <f t="shared" si="3"/>
        <v>0</v>
      </c>
      <c r="J45" s="15">
        <f t="shared" si="4"/>
        <v>0</v>
      </c>
      <c r="K45" s="15">
        <f t="shared" si="5"/>
        <v>0</v>
      </c>
      <c r="L45" s="15">
        <f t="shared" si="6"/>
        <v>0</v>
      </c>
    </row>
    <row r="46" spans="1:12" x14ac:dyDescent="0.25">
      <c r="A46" s="17" t="str">
        <f t="shared" si="7"/>
        <v/>
      </c>
      <c r="B46" s="8"/>
      <c r="C46" s="8" t="s">
        <v>23</v>
      </c>
      <c r="D46" s="6" t="str">
        <f>VLOOKUP(C46,Results!$E$2:$G$69,3,FALSE)</f>
        <v/>
      </c>
      <c r="E46" s="7" t="str">
        <f>VLOOKUP($C46,Results!$E$2:$M$69,2,FALSE)</f>
        <v>Select</v>
      </c>
      <c r="F46" s="15" t="str">
        <f t="shared" si="0"/>
        <v/>
      </c>
      <c r="G46" s="15">
        <f t="shared" si="1"/>
        <v>0</v>
      </c>
      <c r="H46" s="15">
        <f t="shared" si="2"/>
        <v>0</v>
      </c>
      <c r="I46" s="15">
        <f t="shared" si="3"/>
        <v>0</v>
      </c>
      <c r="J46" s="15">
        <f t="shared" si="4"/>
        <v>0</v>
      </c>
      <c r="K46" s="15">
        <f t="shared" si="5"/>
        <v>0</v>
      </c>
      <c r="L46" s="15">
        <f t="shared" si="6"/>
        <v>0</v>
      </c>
    </row>
    <row r="47" spans="1:12" x14ac:dyDescent="0.25">
      <c r="A47" s="17" t="str">
        <f t="shared" si="7"/>
        <v/>
      </c>
      <c r="B47" s="8"/>
      <c r="C47" s="8" t="s">
        <v>59</v>
      </c>
      <c r="D47" s="6" t="str">
        <f>VLOOKUP(C47,Results!$E$2:$G$69,3,FALSE)</f>
        <v/>
      </c>
      <c r="E47" s="7" t="str">
        <f>VLOOKUP($C47,Results!$E$2:$M$69,2,FALSE)</f>
        <v>Select</v>
      </c>
      <c r="F47" s="15" t="str">
        <f t="shared" si="0"/>
        <v/>
      </c>
      <c r="G47" s="15">
        <f t="shared" si="1"/>
        <v>0</v>
      </c>
      <c r="H47" s="15">
        <f t="shared" si="2"/>
        <v>0</v>
      </c>
      <c r="I47" s="15">
        <f t="shared" si="3"/>
        <v>0</v>
      </c>
      <c r="J47" s="15">
        <f t="shared" si="4"/>
        <v>0</v>
      </c>
      <c r="K47" s="15">
        <f t="shared" si="5"/>
        <v>0</v>
      </c>
      <c r="L47" s="15">
        <f t="shared" si="6"/>
        <v>0</v>
      </c>
    </row>
    <row r="48" spans="1:12" x14ac:dyDescent="0.25">
      <c r="A48" s="17" t="str">
        <f t="shared" si="7"/>
        <v/>
      </c>
      <c r="B48" s="8"/>
      <c r="C48" s="8" t="s">
        <v>40</v>
      </c>
      <c r="D48" s="6" t="str">
        <f>VLOOKUP(C48,Results!$E$2:$G$69,3,FALSE)</f>
        <v/>
      </c>
      <c r="E48" s="7" t="str">
        <f>VLOOKUP($C48,Results!$E$2:$M$69,2,FALSE)</f>
        <v>Select</v>
      </c>
      <c r="F48" s="15" t="str">
        <f t="shared" si="0"/>
        <v/>
      </c>
      <c r="G48" s="15">
        <f t="shared" si="1"/>
        <v>0</v>
      </c>
      <c r="H48" s="15">
        <f t="shared" si="2"/>
        <v>0</v>
      </c>
      <c r="I48" s="15">
        <f t="shared" si="3"/>
        <v>0</v>
      </c>
      <c r="J48" s="15">
        <f t="shared" si="4"/>
        <v>0</v>
      </c>
      <c r="K48" s="15">
        <f t="shared" si="5"/>
        <v>0</v>
      </c>
      <c r="L48" s="15">
        <f t="shared" si="6"/>
        <v>0</v>
      </c>
    </row>
    <row r="49" spans="1:12" x14ac:dyDescent="0.25">
      <c r="A49" s="17" t="str">
        <f t="shared" si="7"/>
        <v/>
      </c>
      <c r="B49" s="8"/>
      <c r="C49" s="8" t="s">
        <v>62</v>
      </c>
      <c r="D49" s="6" t="str">
        <f>VLOOKUP(C49,Results!$E$2:$G$69,3,FALSE)</f>
        <v>1st Four</v>
      </c>
      <c r="E49" s="7" t="str">
        <f>VLOOKUP($C49,Results!$E$2:$M$69,2,FALSE)</f>
        <v>Select</v>
      </c>
      <c r="F49" s="15">
        <f t="shared" si="0"/>
        <v>0</v>
      </c>
      <c r="G49" s="15">
        <f t="shared" si="1"/>
        <v>0</v>
      </c>
      <c r="H49" s="15">
        <f t="shared" si="2"/>
        <v>0</v>
      </c>
      <c r="I49" s="15">
        <f t="shared" si="3"/>
        <v>0</v>
      </c>
      <c r="J49" s="15">
        <f t="shared" si="4"/>
        <v>0</v>
      </c>
      <c r="K49" s="15">
        <f t="shared" si="5"/>
        <v>0</v>
      </c>
      <c r="L49" s="15">
        <f t="shared" si="6"/>
        <v>0</v>
      </c>
    </row>
    <row r="50" spans="1:12" x14ac:dyDescent="0.25">
      <c r="A50" s="17" t="str">
        <f t="shared" si="7"/>
        <v/>
      </c>
      <c r="B50" s="8"/>
      <c r="C50" s="8" t="s">
        <v>63</v>
      </c>
      <c r="D50" s="6" t="str">
        <f>VLOOKUP(C50,Results!$E$2:$G$69,3,FALSE)</f>
        <v/>
      </c>
      <c r="E50" s="7" t="str">
        <f>VLOOKUP($C50,Results!$E$2:$M$69,2,FALSE)</f>
        <v>Select</v>
      </c>
      <c r="F50" s="15" t="str">
        <f t="shared" si="0"/>
        <v/>
      </c>
      <c r="G50" s="15">
        <f t="shared" si="1"/>
        <v>0</v>
      </c>
      <c r="H50" s="15">
        <f t="shared" si="2"/>
        <v>0</v>
      </c>
      <c r="I50" s="15">
        <f t="shared" si="3"/>
        <v>0</v>
      </c>
      <c r="J50" s="15">
        <f t="shared" si="4"/>
        <v>0</v>
      </c>
      <c r="K50" s="15">
        <f t="shared" si="5"/>
        <v>0</v>
      </c>
      <c r="L50" s="15">
        <f t="shared" si="6"/>
        <v>0</v>
      </c>
    </row>
    <row r="51" spans="1:12" x14ac:dyDescent="0.25">
      <c r="A51" s="17" t="str">
        <f t="shared" si="7"/>
        <v/>
      </c>
      <c r="B51" s="8"/>
      <c r="C51" s="8" t="s">
        <v>65</v>
      </c>
      <c r="D51" s="6" t="str">
        <f>VLOOKUP(C51,Results!$E$2:$G$69,3,FALSE)</f>
        <v/>
      </c>
      <c r="E51" s="7" t="str">
        <f>VLOOKUP($C51,Results!$E$2:$M$69,2,FALSE)</f>
        <v>Select</v>
      </c>
      <c r="F51" s="15" t="str">
        <f t="shared" si="0"/>
        <v/>
      </c>
      <c r="G51" s="15">
        <f t="shared" si="1"/>
        <v>0</v>
      </c>
      <c r="H51" s="15">
        <f t="shared" si="2"/>
        <v>0</v>
      </c>
      <c r="I51" s="15">
        <f t="shared" si="3"/>
        <v>0</v>
      </c>
      <c r="J51" s="15">
        <f t="shared" si="4"/>
        <v>0</v>
      </c>
      <c r="K51" s="15">
        <f t="shared" si="5"/>
        <v>0</v>
      </c>
      <c r="L51" s="15">
        <f t="shared" si="6"/>
        <v>0</v>
      </c>
    </row>
    <row r="52" spans="1:12" x14ac:dyDescent="0.25">
      <c r="A52" s="17" t="str">
        <f t="shared" si="7"/>
        <v/>
      </c>
      <c r="B52" s="8"/>
      <c r="C52" s="8" t="s">
        <v>67</v>
      </c>
      <c r="D52" s="6" t="str">
        <f>VLOOKUP(C52,Results!$E$2:$G$69,3,FALSE)</f>
        <v/>
      </c>
      <c r="E52" s="7" t="str">
        <f>VLOOKUP($C52,Results!$E$2:$M$69,2,FALSE)</f>
        <v>Select</v>
      </c>
      <c r="F52" s="15" t="str">
        <f t="shared" si="0"/>
        <v/>
      </c>
      <c r="G52" s="15">
        <f t="shared" si="1"/>
        <v>0</v>
      </c>
      <c r="H52" s="15">
        <f t="shared" si="2"/>
        <v>0</v>
      </c>
      <c r="I52" s="15">
        <f t="shared" si="3"/>
        <v>0</v>
      </c>
      <c r="J52" s="15">
        <f t="shared" si="4"/>
        <v>0</v>
      </c>
      <c r="K52" s="15">
        <f t="shared" si="5"/>
        <v>0</v>
      </c>
      <c r="L52" s="15">
        <f t="shared" si="6"/>
        <v>0</v>
      </c>
    </row>
    <row r="53" spans="1:12" x14ac:dyDescent="0.25">
      <c r="A53" s="17" t="str">
        <f t="shared" si="7"/>
        <v/>
      </c>
      <c r="B53" s="8"/>
      <c r="C53" s="8" t="s">
        <v>17</v>
      </c>
      <c r="D53" s="6" t="str">
        <f>VLOOKUP(C53,Results!$E$2:$G$69,3,FALSE)</f>
        <v/>
      </c>
      <c r="E53" s="7" t="str">
        <f>VLOOKUP($C53,Results!$E$2:$M$69,2,FALSE)</f>
        <v>Select</v>
      </c>
      <c r="F53" s="15" t="str">
        <f t="shared" si="0"/>
        <v/>
      </c>
      <c r="G53" s="15">
        <f t="shared" si="1"/>
        <v>0</v>
      </c>
      <c r="H53" s="15">
        <f t="shared" si="2"/>
        <v>0</v>
      </c>
      <c r="I53" s="15">
        <f t="shared" si="3"/>
        <v>0</v>
      </c>
      <c r="J53" s="15">
        <f t="shared" si="4"/>
        <v>0</v>
      </c>
      <c r="K53" s="15">
        <f t="shared" si="5"/>
        <v>0</v>
      </c>
      <c r="L53" s="15">
        <f t="shared" si="6"/>
        <v>0</v>
      </c>
    </row>
    <row r="54" spans="1:12" x14ac:dyDescent="0.25">
      <c r="A54" s="17" t="str">
        <f t="shared" si="7"/>
        <v/>
      </c>
      <c r="B54" s="8"/>
      <c r="C54" s="8" t="s">
        <v>20</v>
      </c>
      <c r="D54" s="6" t="str">
        <f>VLOOKUP(C54,Results!$E$2:$G$69,3,FALSE)</f>
        <v/>
      </c>
      <c r="E54" s="7" t="str">
        <f>VLOOKUP($C54,Results!$E$2:$M$69,2,FALSE)</f>
        <v>Select</v>
      </c>
      <c r="F54" s="15" t="str">
        <f t="shared" si="0"/>
        <v/>
      </c>
      <c r="G54" s="15">
        <f t="shared" si="1"/>
        <v>0</v>
      </c>
      <c r="H54" s="15">
        <f t="shared" si="2"/>
        <v>0</v>
      </c>
      <c r="I54" s="15">
        <f t="shared" si="3"/>
        <v>0</v>
      </c>
      <c r="J54" s="15">
        <f t="shared" si="4"/>
        <v>0</v>
      </c>
      <c r="K54" s="15">
        <f t="shared" si="5"/>
        <v>0</v>
      </c>
      <c r="L54" s="15">
        <f t="shared" si="6"/>
        <v>0</v>
      </c>
    </row>
    <row r="55" spans="1:12" x14ac:dyDescent="0.25">
      <c r="A55" s="17" t="str">
        <f t="shared" si="7"/>
        <v/>
      </c>
      <c r="B55" s="8"/>
      <c r="C55" s="8" t="s">
        <v>53</v>
      </c>
      <c r="D55" s="6" t="str">
        <f>VLOOKUP(C55,Results!$E$2:$G$69,3,FALSE)</f>
        <v/>
      </c>
      <c r="E55" s="7" t="str">
        <f>VLOOKUP($C55,Results!$E$2:$M$69,2,FALSE)</f>
        <v>Select</v>
      </c>
      <c r="F55" s="15" t="str">
        <f t="shared" si="0"/>
        <v/>
      </c>
      <c r="G55" s="15">
        <f t="shared" si="1"/>
        <v>0</v>
      </c>
      <c r="H55" s="15">
        <f t="shared" si="2"/>
        <v>0</v>
      </c>
      <c r="I55" s="15">
        <f t="shared" si="3"/>
        <v>0</v>
      </c>
      <c r="J55" s="15">
        <f t="shared" si="4"/>
        <v>0</v>
      </c>
      <c r="K55" s="15">
        <f t="shared" si="5"/>
        <v>0</v>
      </c>
      <c r="L55" s="15">
        <f t="shared" si="6"/>
        <v>0</v>
      </c>
    </row>
    <row r="56" spans="1:12" x14ac:dyDescent="0.25">
      <c r="A56" s="17" t="str">
        <f t="shared" si="7"/>
        <v/>
      </c>
      <c r="B56" s="8"/>
      <c r="C56" s="8" t="s">
        <v>68</v>
      </c>
      <c r="D56" s="6" t="str">
        <f>VLOOKUP(C56,Results!$E$2:$G$69,3,FALSE)</f>
        <v/>
      </c>
      <c r="E56" s="7" t="str">
        <f>VLOOKUP($C56,Results!$E$2:$M$69,2,FALSE)</f>
        <v>Select</v>
      </c>
      <c r="F56" s="15" t="str">
        <f t="shared" si="0"/>
        <v/>
      </c>
      <c r="G56" s="15">
        <f t="shared" si="1"/>
        <v>0</v>
      </c>
      <c r="H56" s="15">
        <f t="shared" si="2"/>
        <v>0</v>
      </c>
      <c r="I56" s="15">
        <f t="shared" si="3"/>
        <v>0</v>
      </c>
      <c r="J56" s="15">
        <f t="shared" si="4"/>
        <v>0</v>
      </c>
      <c r="K56" s="15">
        <f t="shared" si="5"/>
        <v>0</v>
      </c>
      <c r="L56" s="15">
        <f t="shared" si="6"/>
        <v>0</v>
      </c>
    </row>
    <row r="57" spans="1:12" x14ac:dyDescent="0.25">
      <c r="A57" s="17" t="str">
        <f t="shared" si="7"/>
        <v/>
      </c>
      <c r="B57" s="8"/>
      <c r="C57" s="8" t="s">
        <v>76</v>
      </c>
      <c r="D57" s="6" t="str">
        <f>VLOOKUP(C57,Results!$E$2:$G$69,3,FALSE)</f>
        <v/>
      </c>
      <c r="E57" s="7" t="str">
        <f>VLOOKUP($C57,Results!$E$2:$M$69,2,FALSE)</f>
        <v>Select</v>
      </c>
      <c r="F57" s="15" t="str">
        <f t="shared" si="0"/>
        <v/>
      </c>
      <c r="G57" s="15">
        <f t="shared" si="1"/>
        <v>0</v>
      </c>
      <c r="H57" s="15">
        <f t="shared" si="2"/>
        <v>0</v>
      </c>
      <c r="I57" s="15">
        <f t="shared" si="3"/>
        <v>0</v>
      </c>
      <c r="J57" s="15">
        <f t="shared" si="4"/>
        <v>0</v>
      </c>
      <c r="K57" s="15">
        <f t="shared" si="5"/>
        <v>0</v>
      </c>
      <c r="L57" s="15">
        <f t="shared" si="6"/>
        <v>0</v>
      </c>
    </row>
    <row r="58" spans="1:12" x14ac:dyDescent="0.25">
      <c r="A58" s="17" t="str">
        <f t="shared" si="7"/>
        <v/>
      </c>
      <c r="B58" s="8"/>
      <c r="C58" s="8" t="s">
        <v>24</v>
      </c>
      <c r="D58" s="6" t="str">
        <f>VLOOKUP(C58,Results!$E$2:$G$69,3,FALSE)</f>
        <v/>
      </c>
      <c r="E58" s="7" t="str">
        <f>VLOOKUP($C58,Results!$E$2:$M$69,2,FALSE)</f>
        <v>Select</v>
      </c>
      <c r="F58" s="15" t="str">
        <f t="shared" si="0"/>
        <v/>
      </c>
      <c r="G58" s="15">
        <f t="shared" si="1"/>
        <v>0</v>
      </c>
      <c r="H58" s="15">
        <f t="shared" si="2"/>
        <v>0</v>
      </c>
      <c r="I58" s="15">
        <f t="shared" si="3"/>
        <v>0</v>
      </c>
      <c r="J58" s="15">
        <f t="shared" si="4"/>
        <v>0</v>
      </c>
      <c r="K58" s="15">
        <f t="shared" si="5"/>
        <v>0</v>
      </c>
      <c r="L58" s="15">
        <f t="shared" si="6"/>
        <v>0</v>
      </c>
    </row>
    <row r="59" spans="1:12" x14ac:dyDescent="0.25">
      <c r="A59" s="17" t="str">
        <f t="shared" si="7"/>
        <v/>
      </c>
      <c r="B59" s="8"/>
      <c r="C59" s="8" t="s">
        <v>64</v>
      </c>
      <c r="D59" s="6" t="str">
        <f>VLOOKUP(C59,Results!$E$2:$G$69,3,FALSE)</f>
        <v/>
      </c>
      <c r="E59" s="7" t="str">
        <f>VLOOKUP($C59,Results!$E$2:$M$69,2,FALSE)</f>
        <v>Select</v>
      </c>
      <c r="F59" s="15" t="str">
        <f t="shared" si="0"/>
        <v/>
      </c>
      <c r="G59" s="15">
        <f t="shared" si="1"/>
        <v>0</v>
      </c>
      <c r="H59" s="15">
        <f t="shared" si="2"/>
        <v>0</v>
      </c>
      <c r="I59" s="15">
        <f t="shared" si="3"/>
        <v>0</v>
      </c>
      <c r="J59" s="15">
        <f t="shared" si="4"/>
        <v>0</v>
      </c>
      <c r="K59" s="15">
        <f t="shared" si="5"/>
        <v>0</v>
      </c>
      <c r="L59" s="15">
        <f t="shared" si="6"/>
        <v>0</v>
      </c>
    </row>
    <row r="60" spans="1:12" x14ac:dyDescent="0.25">
      <c r="A60" s="17" t="str">
        <f t="shared" si="7"/>
        <v/>
      </c>
      <c r="B60" s="8"/>
      <c r="C60" s="8" t="s">
        <v>43</v>
      </c>
      <c r="D60" s="6" t="str">
        <f>VLOOKUP(C60,Results!$E$2:$G$69,3,FALSE)</f>
        <v/>
      </c>
      <c r="E60" s="7" t="str">
        <f>VLOOKUP($C60,Results!$E$2:$M$69,2,FALSE)</f>
        <v>Select</v>
      </c>
      <c r="F60" s="15" t="str">
        <f t="shared" si="0"/>
        <v/>
      </c>
      <c r="G60" s="15">
        <f t="shared" si="1"/>
        <v>0</v>
      </c>
      <c r="H60" s="15">
        <f t="shared" si="2"/>
        <v>0</v>
      </c>
      <c r="I60" s="15">
        <f t="shared" si="3"/>
        <v>0</v>
      </c>
      <c r="J60" s="15">
        <f t="shared" si="4"/>
        <v>0</v>
      </c>
      <c r="K60" s="15">
        <f t="shared" si="5"/>
        <v>0</v>
      </c>
      <c r="L60" s="15">
        <f t="shared" si="6"/>
        <v>0</v>
      </c>
    </row>
    <row r="61" spans="1:12" x14ac:dyDescent="0.25">
      <c r="A61" s="17" t="str">
        <f t="shared" si="7"/>
        <v/>
      </c>
      <c r="B61" s="8"/>
      <c r="C61" s="8" t="s">
        <v>52</v>
      </c>
      <c r="D61" s="6" t="str">
        <f>VLOOKUP(C61,Results!$E$2:$G$69,3,FALSE)</f>
        <v/>
      </c>
      <c r="E61" s="7" t="str">
        <f>VLOOKUP($C61,Results!$E$2:$M$69,2,FALSE)</f>
        <v>Select</v>
      </c>
      <c r="F61" s="15" t="str">
        <f t="shared" si="0"/>
        <v/>
      </c>
      <c r="G61" s="15">
        <f t="shared" si="1"/>
        <v>0</v>
      </c>
      <c r="H61" s="15">
        <f t="shared" si="2"/>
        <v>0</v>
      </c>
      <c r="I61" s="15">
        <f t="shared" si="3"/>
        <v>0</v>
      </c>
      <c r="J61" s="15">
        <f t="shared" si="4"/>
        <v>0</v>
      </c>
      <c r="K61" s="15">
        <f t="shared" si="5"/>
        <v>0</v>
      </c>
      <c r="L61" s="15">
        <f t="shared" si="6"/>
        <v>0</v>
      </c>
    </row>
    <row r="62" spans="1:12" x14ac:dyDescent="0.25">
      <c r="A62" s="17" t="str">
        <f t="shared" si="7"/>
        <v/>
      </c>
      <c r="B62" s="8"/>
      <c r="C62" s="8" t="s">
        <v>33</v>
      </c>
      <c r="D62" s="6" t="str">
        <f>VLOOKUP(C62,Results!$E$2:$G$69,3,FALSE)</f>
        <v/>
      </c>
      <c r="E62" s="7" t="str">
        <f>VLOOKUP($C62,Results!$E$2:$M$69,2,FALSE)</f>
        <v>Select</v>
      </c>
      <c r="F62" s="15" t="str">
        <f t="shared" si="0"/>
        <v/>
      </c>
      <c r="G62" s="15">
        <f t="shared" si="1"/>
        <v>0</v>
      </c>
      <c r="H62" s="15">
        <f t="shared" si="2"/>
        <v>0</v>
      </c>
      <c r="I62" s="15">
        <f t="shared" si="3"/>
        <v>0</v>
      </c>
      <c r="J62" s="15">
        <f t="shared" si="4"/>
        <v>0</v>
      </c>
      <c r="K62" s="15">
        <f t="shared" si="5"/>
        <v>0</v>
      </c>
      <c r="L62" s="15">
        <f t="shared" si="6"/>
        <v>0</v>
      </c>
    </row>
    <row r="63" spans="1:12" x14ac:dyDescent="0.25">
      <c r="A63" s="17" t="str">
        <f t="shared" si="7"/>
        <v/>
      </c>
      <c r="B63" s="8"/>
      <c r="C63" s="8" t="s">
        <v>27</v>
      </c>
      <c r="D63" s="6" t="str">
        <f>VLOOKUP(C63,Results!$E$2:$G$69,3,FALSE)</f>
        <v/>
      </c>
      <c r="E63" s="7" t="str">
        <f>VLOOKUP($C63,Results!$E$2:$M$69,2,FALSE)</f>
        <v>Select</v>
      </c>
      <c r="F63" s="15" t="str">
        <f t="shared" si="0"/>
        <v/>
      </c>
      <c r="G63" s="15">
        <f t="shared" si="1"/>
        <v>0</v>
      </c>
      <c r="H63" s="15">
        <f t="shared" si="2"/>
        <v>0</v>
      </c>
      <c r="I63" s="15">
        <f t="shared" si="3"/>
        <v>0</v>
      </c>
      <c r="J63" s="15">
        <f t="shared" si="4"/>
        <v>0</v>
      </c>
      <c r="K63" s="15">
        <f t="shared" si="5"/>
        <v>0</v>
      </c>
      <c r="L63" s="15">
        <f t="shared" si="6"/>
        <v>0</v>
      </c>
    </row>
    <row r="64" spans="1:12" x14ac:dyDescent="0.25">
      <c r="A64" s="17" t="str">
        <f t="shared" si="7"/>
        <v/>
      </c>
      <c r="B64" s="8"/>
      <c r="C64" s="8" t="s">
        <v>41</v>
      </c>
      <c r="D64" s="6" t="str">
        <f>VLOOKUP(C64,Results!$E$2:$G$69,3,FALSE)</f>
        <v/>
      </c>
      <c r="E64" s="7" t="str">
        <f>VLOOKUP($C64,Results!$E$2:$M$69,2,FALSE)</f>
        <v>Select</v>
      </c>
      <c r="F64" s="15" t="str">
        <f t="shared" si="0"/>
        <v/>
      </c>
      <c r="G64" s="15">
        <f t="shared" si="1"/>
        <v>0</v>
      </c>
      <c r="H64" s="15">
        <f t="shared" si="2"/>
        <v>0</v>
      </c>
      <c r="I64" s="15">
        <f t="shared" si="3"/>
        <v>0</v>
      </c>
      <c r="J64" s="15">
        <f t="shared" si="4"/>
        <v>0</v>
      </c>
      <c r="K64" s="15">
        <f t="shared" si="5"/>
        <v>0</v>
      </c>
      <c r="L64" s="15">
        <f t="shared" si="6"/>
        <v>0</v>
      </c>
    </row>
    <row r="65" spans="1:12" x14ac:dyDescent="0.25">
      <c r="A65" s="17" t="str">
        <f t="shared" si="7"/>
        <v/>
      </c>
      <c r="B65" s="8"/>
      <c r="C65" s="8" t="s">
        <v>37</v>
      </c>
      <c r="D65" s="6" t="str">
        <f>VLOOKUP(C65,Results!$E$2:$G$69,3,FALSE)</f>
        <v/>
      </c>
      <c r="E65" s="7" t="str">
        <f>VLOOKUP($C65,Results!$E$2:$M$69,2,FALSE)</f>
        <v>Select</v>
      </c>
      <c r="F65" s="15" t="str">
        <f t="shared" si="0"/>
        <v/>
      </c>
      <c r="G65" s="15">
        <f t="shared" si="1"/>
        <v>0</v>
      </c>
      <c r="H65" s="15">
        <f t="shared" si="2"/>
        <v>0</v>
      </c>
      <c r="I65" s="15">
        <f t="shared" si="3"/>
        <v>0</v>
      </c>
      <c r="J65" s="15">
        <f t="shared" si="4"/>
        <v>0</v>
      </c>
      <c r="K65" s="15">
        <f t="shared" si="5"/>
        <v>0</v>
      </c>
      <c r="L65" s="15">
        <f t="shared" si="6"/>
        <v>0</v>
      </c>
    </row>
    <row r="66" spans="1:12" x14ac:dyDescent="0.25">
      <c r="A66" s="17" t="str">
        <f t="shared" si="7"/>
        <v/>
      </c>
      <c r="B66" s="8"/>
      <c r="C66" s="8" t="s">
        <v>13</v>
      </c>
      <c r="D66" s="6" t="str">
        <f>VLOOKUP(C66,Results!$E$2:$G$69,3,FALSE)</f>
        <v/>
      </c>
      <c r="E66" s="7" t="str">
        <f>VLOOKUP($C66,Results!$E$2:$M$69,2,FALSE)</f>
        <v>Select</v>
      </c>
      <c r="F66" s="15" t="str">
        <f t="shared" si="0"/>
        <v/>
      </c>
      <c r="G66" s="15">
        <f t="shared" si="1"/>
        <v>0</v>
      </c>
      <c r="H66" s="15">
        <f t="shared" si="2"/>
        <v>0</v>
      </c>
      <c r="I66" s="15">
        <f t="shared" si="3"/>
        <v>0</v>
      </c>
      <c r="J66" s="15">
        <f t="shared" si="4"/>
        <v>0</v>
      </c>
      <c r="K66" s="15">
        <f t="shared" si="5"/>
        <v>0</v>
      </c>
      <c r="L66" s="15">
        <f t="shared" si="6"/>
        <v>0</v>
      </c>
    </row>
    <row r="67" spans="1:12" x14ac:dyDescent="0.25">
      <c r="A67" s="17" t="str">
        <f t="shared" si="7"/>
        <v/>
      </c>
      <c r="B67" s="8"/>
      <c r="C67" s="8" t="s">
        <v>48</v>
      </c>
      <c r="D67" s="6" t="str">
        <f>VLOOKUP(C67,Results!$E$2:$G$69,3,FALSE)</f>
        <v/>
      </c>
      <c r="E67" s="7" t="str">
        <f>VLOOKUP($C67,Results!$E$2:$M$69,2,FALSE)</f>
        <v>Select</v>
      </c>
      <c r="F67" s="15" t="str">
        <f t="shared" ref="F67:F69" si="8">IF($E67="Lost First Four", "", IF(D67="1st Four",$B67,""))</f>
        <v/>
      </c>
      <c r="G67" s="15">
        <f t="shared" ref="G67:G69" si="9">IF($E67="Lost First Four", "", IF($E67="Lost 2nd Round", "", $B67))</f>
        <v>0</v>
      </c>
      <c r="H67" s="15">
        <f t="shared" ref="H67:H69" si="10">IF($E67="Lost First Four", "", IF($E67="Lost 2nd Round", "", IF($E67="Lost 3rd Round", "", $B67)))</f>
        <v>0</v>
      </c>
      <c r="I67" s="15">
        <f t="shared" ref="I67:I69" si="11">IF($E67="Lost First Four", "", IF($E67="Lost 2nd Round", "", IF($E67="Lost 3rd Round", "", IF($E67="Lost 4th Round", "", $B67))))</f>
        <v>0</v>
      </c>
      <c r="J67" s="15">
        <f t="shared" ref="J67:J69" si="12">IF($E67="Lost First Four", "", IF($E67="Lost 2nd Round", "", IF($E67="Lost 3rd Round", "", IF($E67="Lost 4th Round", "", IF($E67="Lost 5th Round", "", $B67)))))</f>
        <v>0</v>
      </c>
      <c r="K67" s="15">
        <f t="shared" ref="K67:K69" si="13">IF($E67="Lost First Four", "", IF($E67="Lost 2nd Round", "", IF($E67="Lost 3rd Round", "", IF($E67="Lost 4th Round", "", IF($E67="Lost 5th Round", "", IF($E67="Lost Final Four", "", $B67))))))</f>
        <v>0</v>
      </c>
      <c r="L67" s="15">
        <f t="shared" ref="L67:L69" si="14">IF($E67="Lost First Four", "", IF($E67="Lost 2nd Round", "", IF($E67="Lost 3rd Round", "", IF($E67="Lost 4th Round", "", IF($E67="Lost 5th Round", "", IF($E67="Lost Final Four", "", IF($E67="Lost Championship", "", $B67)))))))</f>
        <v>0</v>
      </c>
    </row>
    <row r="68" spans="1:12" x14ac:dyDescent="0.25">
      <c r="A68" s="17" t="str">
        <f t="shared" ref="A68:A69" si="15">IF(B68="","", IF(B68=B67,"Duplicate",IF(B68&gt;(B67+1),"Missing","")))</f>
        <v/>
      </c>
      <c r="B68" s="8"/>
      <c r="C68" s="8" t="s">
        <v>58</v>
      </c>
      <c r="D68" s="6" t="str">
        <f>VLOOKUP(C68,Results!$E$2:$G$69,3,FALSE)</f>
        <v/>
      </c>
      <c r="E68" s="7" t="str">
        <f>VLOOKUP($C68,Results!$E$2:$M$69,2,FALSE)</f>
        <v>Select</v>
      </c>
      <c r="F68" s="15" t="str">
        <f t="shared" si="8"/>
        <v/>
      </c>
      <c r="G68" s="15">
        <f t="shared" si="9"/>
        <v>0</v>
      </c>
      <c r="H68" s="15">
        <f t="shared" si="10"/>
        <v>0</v>
      </c>
      <c r="I68" s="15">
        <f t="shared" si="11"/>
        <v>0</v>
      </c>
      <c r="J68" s="15">
        <f t="shared" si="12"/>
        <v>0</v>
      </c>
      <c r="K68" s="15">
        <f t="shared" si="13"/>
        <v>0</v>
      </c>
      <c r="L68" s="15">
        <f t="shared" si="14"/>
        <v>0</v>
      </c>
    </row>
    <row r="69" spans="1:12" x14ac:dyDescent="0.25">
      <c r="A69" s="17" t="str">
        <f t="shared" si="15"/>
        <v/>
      </c>
      <c r="B69" s="8"/>
      <c r="C69" s="8" t="s">
        <v>50</v>
      </c>
      <c r="D69" s="6" t="str">
        <f>VLOOKUP(C69,Results!$E$2:$G$69,3,FALSE)</f>
        <v/>
      </c>
      <c r="E69" s="7" t="str">
        <f>VLOOKUP($C69,Results!$E$2:$M$69,2,FALSE)</f>
        <v>Select</v>
      </c>
      <c r="F69" s="15" t="str">
        <f t="shared" si="8"/>
        <v/>
      </c>
      <c r="G69" s="15">
        <f t="shared" si="9"/>
        <v>0</v>
      </c>
      <c r="H69" s="15">
        <f t="shared" si="10"/>
        <v>0</v>
      </c>
      <c r="I69" s="15">
        <f t="shared" si="11"/>
        <v>0</v>
      </c>
      <c r="J69" s="15">
        <f t="shared" si="12"/>
        <v>0</v>
      </c>
      <c r="K69" s="15">
        <f t="shared" si="13"/>
        <v>0</v>
      </c>
      <c r="L69" s="15">
        <f t="shared" si="14"/>
        <v>0</v>
      </c>
    </row>
    <row r="70" spans="1:12" x14ac:dyDescent="0.25">
      <c r="F70" s="6">
        <f>SUM(F2:F69)</f>
        <v>0</v>
      </c>
      <c r="G70" s="6">
        <f t="shared" ref="G70:L70" si="16">SUM(G2:G69)</f>
        <v>0</v>
      </c>
      <c r="H70" s="6">
        <f t="shared" si="16"/>
        <v>0</v>
      </c>
      <c r="I70" s="6">
        <f t="shared" si="16"/>
        <v>0</v>
      </c>
      <c r="J70" s="6">
        <f t="shared" si="16"/>
        <v>0</v>
      </c>
      <c r="K70" s="6">
        <f t="shared" si="16"/>
        <v>0</v>
      </c>
      <c r="L70" s="6">
        <f t="shared" si="16"/>
        <v>0</v>
      </c>
    </row>
    <row r="74" spans="1:12" x14ac:dyDescent="0.25">
      <c r="B74" s="9" t="str">
        <f>F1</f>
        <v>The First Four</v>
      </c>
      <c r="C74" s="9" t="str">
        <f>IF(E74=4, F70,"")</f>
        <v/>
      </c>
      <c r="E74" s="6">
        <f>COUNTIF(E2:E69, "Lost First Four")</f>
        <v>0</v>
      </c>
    </row>
    <row r="75" spans="1:12" x14ac:dyDescent="0.25">
      <c r="B75" s="9" t="str">
        <f>G1</f>
        <v>2nd Round</v>
      </c>
      <c r="C75" s="9" t="str">
        <f>IF(E75=32, G70,"")</f>
        <v/>
      </c>
      <c r="E75" s="6">
        <f>COUNTIF($E$2:$E$69, "Lost 2nd Round")</f>
        <v>0</v>
      </c>
    </row>
    <row r="76" spans="1:12" x14ac:dyDescent="0.25">
      <c r="B76" s="9" t="str">
        <f>H1</f>
        <v>3rd Round</v>
      </c>
      <c r="C76" s="9" t="str">
        <f>IF(E76=16, H70,"")</f>
        <v/>
      </c>
      <c r="E76" s="6">
        <f>COUNTIF($E$2:$E$69, "Lost 3rd Round")</f>
        <v>0</v>
      </c>
    </row>
    <row r="77" spans="1:12" x14ac:dyDescent="0.25">
      <c r="B77" s="9" t="str">
        <f>I1</f>
        <v>4th Round</v>
      </c>
      <c r="C77" s="9" t="str">
        <f>IF(E77=8, I70,"")</f>
        <v/>
      </c>
      <c r="E77" s="6">
        <f>COUNTIF($E$2:$E$69, "Lost 4th Round")</f>
        <v>0</v>
      </c>
    </row>
    <row r="78" spans="1:12" x14ac:dyDescent="0.25">
      <c r="B78" s="9" t="str">
        <f>J1</f>
        <v>5th Round</v>
      </c>
      <c r="C78" s="9" t="str">
        <f>IF(E78=4, J70,"")</f>
        <v/>
      </c>
      <c r="E78" s="6">
        <f>COUNTIF($E$2:$E$69, "Lost 5th Round")</f>
        <v>0</v>
      </c>
    </row>
    <row r="79" spans="1:12" x14ac:dyDescent="0.25">
      <c r="B79" s="9" t="str">
        <f>K1</f>
        <v>Final Four</v>
      </c>
      <c r="C79" s="9" t="str">
        <f>IF(E79=2, K70,"")</f>
        <v/>
      </c>
      <c r="E79" s="6">
        <f>COUNTIF($E$2:$E$69, "Lost Final Four")</f>
        <v>0</v>
      </c>
    </row>
    <row r="80" spans="1:12" x14ac:dyDescent="0.25">
      <c r="B80" s="9" t="str">
        <f>L1</f>
        <v>Championship</v>
      </c>
      <c r="C80" s="9" t="str">
        <f>IF(E80=1, L70,"")</f>
        <v/>
      </c>
      <c r="E80" s="6">
        <f>COUNTIF($E$2:$E$69, "Lost Championship")</f>
        <v>0</v>
      </c>
    </row>
    <row r="81" spans="3:11" x14ac:dyDescent="0.25">
      <c r="C81" s="6">
        <f>SUM(C74:C80)</f>
        <v>0</v>
      </c>
      <c r="G81" s="2"/>
      <c r="H81" s="2"/>
      <c r="I81" s="2"/>
      <c r="J81" s="2"/>
      <c r="K81" s="2"/>
    </row>
  </sheetData>
  <sheetProtection password="CC28" sheet="1" objects="1" scenarios="1"/>
  <sortState ref="B2:C69">
    <sortCondition ref="B2:B69"/>
    <sortCondition ref="C2:C69"/>
  </sortState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Results</vt:lpstr>
      <vt:lpstr>Contestant Scores</vt:lpstr>
      <vt:lpstr>Contestant Sample #1</vt:lpstr>
      <vt:lpstr>Contestant Sample #2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Oppitz</dc:creator>
  <cp:lastModifiedBy>Benjamin Oppitz</cp:lastModifiedBy>
  <dcterms:created xsi:type="dcterms:W3CDTF">2015-03-22T20:05:16Z</dcterms:created>
  <dcterms:modified xsi:type="dcterms:W3CDTF">2015-05-26T02:04:10Z</dcterms:modified>
</cp:coreProperties>
</file>